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yengpro-my.sharepoint.com/personal/da164_2_joohsa_kz/Documents/Рабочий стол/Skypro/13_ДИПЛОМ/"/>
    </mc:Choice>
  </mc:AlternateContent>
  <xr:revisionPtr revIDLastSave="109" documentId="11_037648794F6AE931166D8BE241D7F1E5459B24DF" xr6:coauthVersionLast="47" xr6:coauthVersionMax="47" xr10:uidLastSave="{3BCED928-2F4A-4758-BD62-292057F413B6}"/>
  <bookViews>
    <workbookView xWindow="-108" yWindow="-108" windowWidth="23256" windowHeight="13176" activeTab="1" xr2:uid="{00000000-000D-0000-FFFF-FFFF00000000}"/>
  </bookViews>
  <sheets>
    <sheet name="Все_ТТ" sheetId="1" r:id="rId1"/>
    <sheet name="Калькулятор" sheetId="5" r:id="rId2"/>
    <sheet name="положительные" sheetId="2" r:id="rId3"/>
    <sheet name="отрицательные" sheetId="3" r:id="rId4"/>
    <sheet name="нейтральный исхо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3" l="1"/>
  <c r="C7" i="5" s="1"/>
  <c r="O3" i="3"/>
  <c r="O4" i="3"/>
  <c r="O2" i="3"/>
  <c r="O2" i="2"/>
  <c r="O19" i="2"/>
  <c r="C6" i="5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C9" i="5"/>
  <c r="O35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2" i="4"/>
  <c r="C8" i="5" l="1"/>
</calcChain>
</file>

<file path=xl/sharedStrings.xml><?xml version="1.0" encoding="utf-8"?>
<sst xmlns="http://schemas.openxmlformats.org/spreadsheetml/2006/main" count="279" uniqueCount="42">
  <si>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</si>
  <si>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</si>
  <si>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</si>
  <si>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</si>
  <si>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</si>
  <si>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</si>
  <si>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</si>
  <si>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</si>
  <si>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</si>
  <si>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</si>
  <si>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</si>
  <si>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</si>
  <si>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pvalue_test</t>
  </si>
  <si>
    <t>flag</t>
  </si>
  <si>
    <t>Красноярск</t>
  </si>
  <si>
    <t>Нижний Новгород</t>
  </si>
  <si>
    <t>Мурманск</t>
  </si>
  <si>
    <t>Казань</t>
  </si>
  <si>
    <t>Санкт-Петербург</t>
  </si>
  <si>
    <t>Москва</t>
  </si>
  <si>
    <t>Саратов</t>
  </si>
  <si>
    <t>Тольятти</t>
  </si>
  <si>
    <t>Тюмень</t>
  </si>
  <si>
    <t>Волгоград</t>
  </si>
  <si>
    <t>Сочи</t>
  </si>
  <si>
    <t>Владимир</t>
  </si>
  <si>
    <t>Самара</t>
  </si>
  <si>
    <t>Краснодар</t>
  </si>
  <si>
    <t>Сахалинск</t>
  </si>
  <si>
    <t>Великий Новгород</t>
  </si>
  <si>
    <t>Дмитров</t>
  </si>
  <si>
    <t>Нейтральный исход</t>
  </si>
  <si>
    <t>Положительный исход</t>
  </si>
  <si>
    <t>Отрицательный исход</t>
  </si>
  <si>
    <t>Вводные данные</t>
  </si>
  <si>
    <t>Колличество покупателей</t>
  </si>
  <si>
    <t>MDE</t>
  </si>
  <si>
    <t>Расчётные данные</t>
  </si>
  <si>
    <t>Баланс</t>
  </si>
  <si>
    <t>Колличество наблюдений</t>
  </si>
  <si>
    <t>Количество наблюдений</t>
  </si>
  <si>
    <t>Изменение выручки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</si>
</sst>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&quot;₽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16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2" fillId="0" borderId="1" xfId="0" applyFont="1" applyBorder="1"/>
    <xf numFmtId="0" fontId="4" fillId="2" borderId="4" xfId="0" applyFont="1" applyFill="1" applyBorder="1"/>
    <xf numFmtId="0" fontId="3" fillId="2" borderId="4" xfId="0" applyFont="1" applyFill="1" applyBorder="1"/>
    <xf numFmtId="0" fontId="0" fillId="2" borderId="0" xfId="0" applyFill="1"/>
    <xf numFmtId="1" fontId="0" fillId="0" borderId="1" xfId="0" applyNumberFormat="1" applyBorder="1"/>
  </cellXfs>
  <cellStyles count="1">
    <cellStyle name="Обычный" xfId="0" builtinId="0"/>
  </cellStyles>
  <dxfs count="0"/>
  <tableStyles count="1" defaultTableStyle="TableStyleMedium9" defaultPivotStyle="PivotStyleLight16">
    <tableStyle name="Invisible" pivot="0" table="0" count="0" xr9:uid="{7A98AF93-F823-4652-B568-C5510C4393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212</v>
      </c>
      <c r="C2">
        <v>593</v>
      </c>
      <c r="D2">
        <v>575</v>
      </c>
      <c r="E2">
        <v>1168</v>
      </c>
      <c r="F2">
        <v>2.5499999999999998E-2</v>
      </c>
      <c r="G2">
        <v>2144.3200000000002</v>
      </c>
      <c r="H2">
        <v>2222.0500000000002</v>
      </c>
      <c r="I2">
        <v>-77.73</v>
      </c>
      <c r="J2">
        <v>2708.59</v>
      </c>
      <c r="K2">
        <v>2785.12</v>
      </c>
      <c r="L2">
        <v>-0.4834</v>
      </c>
      <c r="M2">
        <v>0.62890000000000001</v>
      </c>
      <c r="N2" t="s">
        <v>31</v>
      </c>
    </row>
    <row r="3" spans="1:14" x14ac:dyDescent="0.3">
      <c r="A3" t="s">
        <v>15</v>
      </c>
      <c r="B3">
        <v>13</v>
      </c>
      <c r="C3">
        <v>142</v>
      </c>
      <c r="D3">
        <v>150</v>
      </c>
      <c r="E3">
        <v>292</v>
      </c>
      <c r="F3">
        <v>6.4000000000000003E-3</v>
      </c>
      <c r="G3">
        <v>1970.55</v>
      </c>
      <c r="H3">
        <v>2336.19</v>
      </c>
      <c r="I3">
        <v>-365.64</v>
      </c>
      <c r="J3">
        <v>2575.94</v>
      </c>
      <c r="K3">
        <v>2709.9</v>
      </c>
      <c r="L3">
        <v>-1.1819999999999999</v>
      </c>
      <c r="M3">
        <v>0.2382</v>
      </c>
      <c r="N3" t="s">
        <v>31</v>
      </c>
    </row>
    <row r="4" spans="1:14" x14ac:dyDescent="0.3">
      <c r="A4" t="s">
        <v>16</v>
      </c>
      <c r="B4">
        <v>54</v>
      </c>
      <c r="C4">
        <v>633</v>
      </c>
      <c r="D4">
        <v>640</v>
      </c>
      <c r="E4">
        <v>1273</v>
      </c>
      <c r="F4">
        <v>2.7799999999999998E-2</v>
      </c>
      <c r="G4">
        <v>1702.71</v>
      </c>
      <c r="H4">
        <v>1688.51</v>
      </c>
      <c r="I4">
        <v>14.2</v>
      </c>
      <c r="J4">
        <v>2565.13</v>
      </c>
      <c r="K4">
        <v>2628.01</v>
      </c>
      <c r="L4">
        <v>9.7600000000000006E-2</v>
      </c>
      <c r="M4">
        <v>0.92230000000000001</v>
      </c>
      <c r="N4" t="s">
        <v>31</v>
      </c>
    </row>
    <row r="5" spans="1:14" x14ac:dyDescent="0.3">
      <c r="A5" t="s">
        <v>17</v>
      </c>
      <c r="B5">
        <v>991</v>
      </c>
      <c r="C5">
        <v>270</v>
      </c>
      <c r="D5">
        <v>294</v>
      </c>
      <c r="E5">
        <v>564</v>
      </c>
      <c r="F5">
        <v>1.23E-2</v>
      </c>
      <c r="G5">
        <v>3249.28</v>
      </c>
      <c r="H5">
        <v>2452.9899999999998</v>
      </c>
      <c r="I5">
        <v>796.29</v>
      </c>
      <c r="J5">
        <v>4719.59</v>
      </c>
      <c r="K5">
        <v>3633.94</v>
      </c>
      <c r="L5">
        <v>2.2307999999999999</v>
      </c>
      <c r="M5">
        <v>2.6100000000000002E-2</v>
      </c>
      <c r="N5" t="s">
        <v>32</v>
      </c>
    </row>
    <row r="6" spans="1:14" x14ac:dyDescent="0.3">
      <c r="A6" t="s">
        <v>18</v>
      </c>
      <c r="B6">
        <v>453</v>
      </c>
      <c r="C6">
        <v>1066</v>
      </c>
      <c r="D6">
        <v>1049</v>
      </c>
      <c r="E6">
        <v>2115</v>
      </c>
      <c r="F6">
        <v>4.6100000000000002E-2</v>
      </c>
      <c r="G6">
        <v>2501.9699999999998</v>
      </c>
      <c r="H6">
        <v>1889.92</v>
      </c>
      <c r="I6">
        <v>612.04999999999995</v>
      </c>
      <c r="J6">
        <v>2993.44</v>
      </c>
      <c r="K6">
        <v>2648.66</v>
      </c>
      <c r="L6">
        <v>4.9817999999999998</v>
      </c>
      <c r="M6">
        <v>0</v>
      </c>
      <c r="N6" t="s">
        <v>32</v>
      </c>
    </row>
    <row r="7" spans="1:14" x14ac:dyDescent="0.3">
      <c r="A7" t="s">
        <v>19</v>
      </c>
      <c r="B7">
        <v>2652</v>
      </c>
      <c r="C7">
        <v>2273</v>
      </c>
      <c r="D7">
        <v>2370</v>
      </c>
      <c r="E7">
        <v>4643</v>
      </c>
      <c r="F7">
        <v>0.1013</v>
      </c>
      <c r="G7">
        <v>2508.89</v>
      </c>
      <c r="H7">
        <v>1972.85</v>
      </c>
      <c r="I7">
        <v>536.04</v>
      </c>
      <c r="J7">
        <v>2846.64</v>
      </c>
      <c r="K7">
        <v>2565.88</v>
      </c>
      <c r="L7">
        <v>6.7305999999999999</v>
      </c>
      <c r="M7">
        <v>0</v>
      </c>
      <c r="N7" t="s">
        <v>32</v>
      </c>
    </row>
    <row r="8" spans="1:14" x14ac:dyDescent="0.3">
      <c r="A8" t="s">
        <v>14</v>
      </c>
      <c r="B8">
        <v>278</v>
      </c>
      <c r="C8">
        <v>535</v>
      </c>
      <c r="D8">
        <v>489</v>
      </c>
      <c r="E8">
        <v>1024</v>
      </c>
      <c r="F8">
        <v>2.23E-2</v>
      </c>
      <c r="G8">
        <v>2499.35</v>
      </c>
      <c r="H8">
        <v>2185.21</v>
      </c>
      <c r="I8">
        <v>314.14</v>
      </c>
      <c r="J8">
        <v>2916</v>
      </c>
      <c r="K8">
        <v>2574.92</v>
      </c>
      <c r="L8">
        <v>1.8304</v>
      </c>
      <c r="M8">
        <v>6.7500000000000004E-2</v>
      </c>
      <c r="N8" t="s">
        <v>31</v>
      </c>
    </row>
    <row r="9" spans="1:14" x14ac:dyDescent="0.3">
      <c r="A9" t="s">
        <v>19</v>
      </c>
      <c r="B9">
        <v>6543</v>
      </c>
      <c r="C9">
        <v>662</v>
      </c>
      <c r="D9">
        <v>689</v>
      </c>
      <c r="E9">
        <v>1351</v>
      </c>
      <c r="F9">
        <v>2.9499999999999998E-2</v>
      </c>
      <c r="G9">
        <v>1715.49</v>
      </c>
      <c r="H9">
        <v>1528.33</v>
      </c>
      <c r="I9">
        <v>187.16</v>
      </c>
      <c r="J9">
        <v>2457.37</v>
      </c>
      <c r="K9">
        <v>2338.52</v>
      </c>
      <c r="L9">
        <v>1.4330000000000001</v>
      </c>
      <c r="M9">
        <v>0.15210000000000001</v>
      </c>
      <c r="N9" t="s">
        <v>31</v>
      </c>
    </row>
    <row r="10" spans="1:14" x14ac:dyDescent="0.3">
      <c r="A10" t="s">
        <v>17</v>
      </c>
      <c r="B10">
        <v>699</v>
      </c>
      <c r="C10">
        <v>482</v>
      </c>
      <c r="D10">
        <v>494</v>
      </c>
      <c r="E10">
        <v>976</v>
      </c>
      <c r="F10">
        <v>2.1299999999999999E-2</v>
      </c>
      <c r="G10">
        <v>2422.29</v>
      </c>
      <c r="H10">
        <v>2574.35</v>
      </c>
      <c r="I10">
        <v>-152.06</v>
      </c>
      <c r="J10">
        <v>3906.82</v>
      </c>
      <c r="K10">
        <v>4082.85</v>
      </c>
      <c r="L10">
        <v>-0.59460000000000002</v>
      </c>
      <c r="M10">
        <v>0.55230000000000001</v>
      </c>
      <c r="N10" t="s">
        <v>31</v>
      </c>
    </row>
    <row r="11" spans="1:14" x14ac:dyDescent="0.3">
      <c r="A11" t="s">
        <v>17</v>
      </c>
      <c r="B11">
        <v>477</v>
      </c>
      <c r="C11">
        <v>382</v>
      </c>
      <c r="D11">
        <v>386</v>
      </c>
      <c r="E11">
        <v>768</v>
      </c>
      <c r="F11">
        <v>1.6799999999999999E-2</v>
      </c>
      <c r="G11">
        <v>2259.62</v>
      </c>
      <c r="H11">
        <v>2496.9899999999998</v>
      </c>
      <c r="I11">
        <v>-237.37</v>
      </c>
      <c r="J11">
        <v>3482.85</v>
      </c>
      <c r="K11">
        <v>3881.99</v>
      </c>
      <c r="L11">
        <v>-0.8921</v>
      </c>
      <c r="M11">
        <v>0.37259999999999999</v>
      </c>
      <c r="N11" t="s">
        <v>31</v>
      </c>
    </row>
    <row r="12" spans="1:14" x14ac:dyDescent="0.3">
      <c r="A12" t="s">
        <v>17</v>
      </c>
      <c r="B12">
        <v>544</v>
      </c>
      <c r="C12">
        <v>377</v>
      </c>
      <c r="D12">
        <v>416</v>
      </c>
      <c r="E12">
        <v>793</v>
      </c>
      <c r="F12">
        <v>1.7299999999999999E-2</v>
      </c>
      <c r="G12">
        <v>2621.4299999999998</v>
      </c>
      <c r="H12">
        <v>2635.55</v>
      </c>
      <c r="I12">
        <v>-14.12</v>
      </c>
      <c r="J12">
        <v>3714.89</v>
      </c>
      <c r="K12">
        <v>4639.82</v>
      </c>
      <c r="L12">
        <v>-4.7500000000000001E-2</v>
      </c>
      <c r="M12">
        <v>0.96209999999999996</v>
      </c>
      <c r="N12" t="s">
        <v>31</v>
      </c>
    </row>
    <row r="13" spans="1:14" x14ac:dyDescent="0.3">
      <c r="A13" t="s">
        <v>20</v>
      </c>
      <c r="B13">
        <v>80</v>
      </c>
      <c r="C13">
        <v>844</v>
      </c>
      <c r="D13">
        <v>880</v>
      </c>
      <c r="E13">
        <v>1724</v>
      </c>
      <c r="F13">
        <v>3.7600000000000001E-2</v>
      </c>
      <c r="G13">
        <v>2517.33</v>
      </c>
      <c r="H13">
        <v>2511.9699999999998</v>
      </c>
      <c r="I13">
        <v>5.36</v>
      </c>
      <c r="J13">
        <v>2797.12</v>
      </c>
      <c r="K13">
        <v>2824.72</v>
      </c>
      <c r="L13">
        <v>3.9600000000000003E-2</v>
      </c>
      <c r="M13">
        <v>0.96840000000000004</v>
      </c>
      <c r="N13" t="s">
        <v>31</v>
      </c>
    </row>
    <row r="14" spans="1:14" x14ac:dyDescent="0.3">
      <c r="A14" t="s">
        <v>21</v>
      </c>
      <c r="B14">
        <v>88</v>
      </c>
      <c r="C14">
        <v>190</v>
      </c>
      <c r="D14">
        <v>167</v>
      </c>
      <c r="E14">
        <v>357</v>
      </c>
      <c r="F14">
        <v>7.7999999999999996E-3</v>
      </c>
      <c r="G14">
        <v>2902.41</v>
      </c>
      <c r="H14">
        <v>2439.46</v>
      </c>
      <c r="I14">
        <v>462.95</v>
      </c>
      <c r="J14">
        <v>3074.65</v>
      </c>
      <c r="K14">
        <v>2689.34</v>
      </c>
      <c r="L14">
        <v>1.5176000000000001</v>
      </c>
      <c r="M14">
        <v>0.13</v>
      </c>
      <c r="N14" t="s">
        <v>31</v>
      </c>
    </row>
    <row r="15" spans="1:14" x14ac:dyDescent="0.3">
      <c r="A15" t="s">
        <v>22</v>
      </c>
      <c r="B15">
        <v>19</v>
      </c>
      <c r="C15">
        <v>130</v>
      </c>
      <c r="D15">
        <v>146</v>
      </c>
      <c r="E15">
        <v>276</v>
      </c>
      <c r="F15">
        <v>6.0000000000000001E-3</v>
      </c>
      <c r="G15">
        <v>2043.82</v>
      </c>
      <c r="H15">
        <v>1743.38</v>
      </c>
      <c r="I15">
        <v>300.44</v>
      </c>
      <c r="J15">
        <v>2442.27</v>
      </c>
      <c r="K15">
        <v>2891.33</v>
      </c>
      <c r="L15">
        <v>0.9355</v>
      </c>
      <c r="M15">
        <v>0.3503</v>
      </c>
      <c r="N15" t="s">
        <v>31</v>
      </c>
    </row>
    <row r="16" spans="1:14" x14ac:dyDescent="0.3">
      <c r="A16" t="s">
        <v>18</v>
      </c>
      <c r="B16">
        <v>112</v>
      </c>
      <c r="C16">
        <v>652</v>
      </c>
      <c r="D16">
        <v>683</v>
      </c>
      <c r="E16">
        <v>1335</v>
      </c>
      <c r="F16">
        <v>2.9100000000000001E-2</v>
      </c>
      <c r="G16">
        <v>2488.12</v>
      </c>
      <c r="H16">
        <v>2218.64</v>
      </c>
      <c r="I16">
        <v>269.48</v>
      </c>
      <c r="J16">
        <v>2778.18</v>
      </c>
      <c r="K16">
        <v>2780.79</v>
      </c>
      <c r="L16">
        <v>1.7707999999999999</v>
      </c>
      <c r="M16">
        <v>7.6799999999999993E-2</v>
      </c>
      <c r="N16" t="s">
        <v>31</v>
      </c>
    </row>
    <row r="17" spans="1:14" x14ac:dyDescent="0.3">
      <c r="A17" t="s">
        <v>23</v>
      </c>
      <c r="B17">
        <v>66</v>
      </c>
      <c r="C17">
        <v>657</v>
      </c>
      <c r="D17">
        <v>703</v>
      </c>
      <c r="E17">
        <v>1360</v>
      </c>
      <c r="F17">
        <v>2.9700000000000001E-2</v>
      </c>
      <c r="G17">
        <v>2288.87</v>
      </c>
      <c r="H17">
        <v>2601.7600000000002</v>
      </c>
      <c r="I17">
        <v>-312.89</v>
      </c>
      <c r="J17">
        <v>2682.57</v>
      </c>
      <c r="K17">
        <v>2830.19</v>
      </c>
      <c r="L17">
        <v>-2.0931000000000002</v>
      </c>
      <c r="M17">
        <v>3.6499999999999998E-2</v>
      </c>
      <c r="N17" t="s">
        <v>33</v>
      </c>
    </row>
    <row r="18" spans="1:14" x14ac:dyDescent="0.3">
      <c r="A18" t="s">
        <v>18</v>
      </c>
      <c r="B18">
        <v>394</v>
      </c>
      <c r="C18">
        <v>104</v>
      </c>
      <c r="D18">
        <v>85</v>
      </c>
      <c r="E18">
        <v>189</v>
      </c>
      <c r="F18">
        <v>4.1000000000000003E-3</v>
      </c>
      <c r="G18">
        <v>1229.6400000000001</v>
      </c>
      <c r="H18">
        <v>973.62</v>
      </c>
      <c r="I18">
        <v>256.02</v>
      </c>
      <c r="J18">
        <v>2208.23</v>
      </c>
      <c r="K18">
        <v>1940.85</v>
      </c>
      <c r="L18">
        <v>0.8478</v>
      </c>
      <c r="M18">
        <v>0.3977</v>
      </c>
      <c r="N18" t="s">
        <v>31</v>
      </c>
    </row>
    <row r="19" spans="1:14" x14ac:dyDescent="0.3">
      <c r="A19" t="s">
        <v>24</v>
      </c>
      <c r="B19">
        <v>72</v>
      </c>
      <c r="C19">
        <v>609</v>
      </c>
      <c r="D19">
        <v>639</v>
      </c>
      <c r="E19">
        <v>1248</v>
      </c>
      <c r="F19">
        <v>2.7199999999999998E-2</v>
      </c>
      <c r="G19">
        <v>2371.4299999999998</v>
      </c>
      <c r="H19">
        <v>2523.38</v>
      </c>
      <c r="I19">
        <v>-151.94999999999999</v>
      </c>
      <c r="J19">
        <v>2906.82</v>
      </c>
      <c r="K19">
        <v>2795.92</v>
      </c>
      <c r="L19">
        <v>-0.94040000000000001</v>
      </c>
      <c r="M19">
        <v>0.34720000000000001</v>
      </c>
      <c r="N19" t="s">
        <v>31</v>
      </c>
    </row>
    <row r="20" spans="1:14" x14ac:dyDescent="0.3">
      <c r="A20" t="s">
        <v>14</v>
      </c>
      <c r="B20">
        <v>202</v>
      </c>
      <c r="C20">
        <v>551</v>
      </c>
      <c r="D20">
        <v>565</v>
      </c>
      <c r="E20">
        <v>1116</v>
      </c>
      <c r="F20">
        <v>2.4299999999999999E-2</v>
      </c>
      <c r="G20">
        <v>2927.34</v>
      </c>
      <c r="H20">
        <v>2730.38</v>
      </c>
      <c r="I20">
        <v>196.96</v>
      </c>
      <c r="J20">
        <v>2956.69</v>
      </c>
      <c r="K20">
        <v>2737.89</v>
      </c>
      <c r="L20">
        <v>1.1539999999999999</v>
      </c>
      <c r="M20">
        <v>0.24879999999999999</v>
      </c>
      <c r="N20" t="s">
        <v>31</v>
      </c>
    </row>
    <row r="21" spans="1:14" x14ac:dyDescent="0.3">
      <c r="A21" t="s">
        <v>25</v>
      </c>
      <c r="B21">
        <v>11</v>
      </c>
      <c r="C21">
        <v>509</v>
      </c>
      <c r="D21">
        <v>608</v>
      </c>
      <c r="E21">
        <v>1117</v>
      </c>
      <c r="F21">
        <v>2.4400000000000002E-2</v>
      </c>
      <c r="G21">
        <v>2547.2199999999998</v>
      </c>
      <c r="H21">
        <v>2108.61</v>
      </c>
      <c r="I21">
        <v>438.61</v>
      </c>
      <c r="J21">
        <v>3023.7</v>
      </c>
      <c r="K21">
        <v>2663.04</v>
      </c>
      <c r="L21">
        <v>2.5482</v>
      </c>
      <c r="M21">
        <v>1.0999999999999999E-2</v>
      </c>
      <c r="N21" t="s">
        <v>32</v>
      </c>
    </row>
    <row r="22" spans="1:14" x14ac:dyDescent="0.3">
      <c r="A22" t="s">
        <v>16</v>
      </c>
      <c r="B22">
        <v>55</v>
      </c>
      <c r="C22">
        <v>422</v>
      </c>
      <c r="D22">
        <v>425</v>
      </c>
      <c r="E22">
        <v>847</v>
      </c>
      <c r="F22">
        <v>1.8499999999999999E-2</v>
      </c>
      <c r="G22">
        <v>2109.11</v>
      </c>
      <c r="H22">
        <v>2111.27</v>
      </c>
      <c r="I22">
        <v>-2.16</v>
      </c>
      <c r="J22">
        <v>2790.99</v>
      </c>
      <c r="K22">
        <v>2804.22</v>
      </c>
      <c r="L22">
        <v>-1.1299999999999999E-2</v>
      </c>
      <c r="M22">
        <v>0.99099999999999999</v>
      </c>
      <c r="N22" t="s">
        <v>31</v>
      </c>
    </row>
    <row r="23" spans="1:14" x14ac:dyDescent="0.3">
      <c r="A23" t="s">
        <v>19</v>
      </c>
      <c r="B23">
        <v>1287</v>
      </c>
      <c r="C23">
        <v>370</v>
      </c>
      <c r="D23">
        <v>357</v>
      </c>
      <c r="E23">
        <v>727</v>
      </c>
      <c r="F23">
        <v>1.5900000000000001E-2</v>
      </c>
      <c r="G23">
        <v>2143.4899999999998</v>
      </c>
      <c r="H23">
        <v>1394.66</v>
      </c>
      <c r="I23">
        <v>748.83</v>
      </c>
      <c r="J23">
        <v>2441.2199999999998</v>
      </c>
      <c r="K23">
        <v>2338.46</v>
      </c>
      <c r="L23">
        <v>4.2243000000000004</v>
      </c>
      <c r="M23">
        <v>0</v>
      </c>
      <c r="N23" t="s">
        <v>32</v>
      </c>
    </row>
    <row r="24" spans="1:14" x14ac:dyDescent="0.3">
      <c r="A24" t="s">
        <v>18</v>
      </c>
      <c r="B24">
        <v>801</v>
      </c>
      <c r="C24">
        <v>225</v>
      </c>
      <c r="D24">
        <v>212</v>
      </c>
      <c r="E24">
        <v>437</v>
      </c>
      <c r="F24">
        <v>9.4999999999999998E-3</v>
      </c>
      <c r="G24">
        <v>2925.14</v>
      </c>
      <c r="H24">
        <v>2352.2800000000002</v>
      </c>
      <c r="I24">
        <v>572.86</v>
      </c>
      <c r="J24">
        <v>2774.29</v>
      </c>
      <c r="K24">
        <v>2928.29</v>
      </c>
      <c r="L24">
        <v>2.0966</v>
      </c>
      <c r="M24">
        <v>3.6600000000000001E-2</v>
      </c>
      <c r="N24" t="s">
        <v>32</v>
      </c>
    </row>
    <row r="25" spans="1:14" x14ac:dyDescent="0.3">
      <c r="A25" t="s">
        <v>26</v>
      </c>
      <c r="B25">
        <v>33</v>
      </c>
      <c r="C25">
        <v>232</v>
      </c>
      <c r="D25">
        <v>258</v>
      </c>
      <c r="E25">
        <v>490</v>
      </c>
      <c r="F25">
        <v>1.0699999999999999E-2</v>
      </c>
      <c r="G25">
        <v>4598.22</v>
      </c>
      <c r="H25">
        <v>2311.39</v>
      </c>
      <c r="I25">
        <v>2286.83</v>
      </c>
      <c r="J25">
        <v>2931.23</v>
      </c>
      <c r="K25">
        <v>2371.77</v>
      </c>
      <c r="L25">
        <v>9.4276</v>
      </c>
      <c r="M25">
        <v>0</v>
      </c>
      <c r="N25" t="s">
        <v>32</v>
      </c>
    </row>
    <row r="26" spans="1:14" x14ac:dyDescent="0.3">
      <c r="A26" t="s">
        <v>14</v>
      </c>
      <c r="B26">
        <v>444</v>
      </c>
      <c r="C26">
        <v>650</v>
      </c>
      <c r="D26">
        <v>562</v>
      </c>
      <c r="E26">
        <v>1212</v>
      </c>
      <c r="F26">
        <v>2.64E-2</v>
      </c>
      <c r="G26">
        <v>2404.11</v>
      </c>
      <c r="H26">
        <v>2545.73</v>
      </c>
      <c r="I26">
        <v>-141.62</v>
      </c>
      <c r="J26">
        <v>2810.83</v>
      </c>
      <c r="K26">
        <v>2797.14</v>
      </c>
      <c r="L26">
        <v>-0.87709999999999999</v>
      </c>
      <c r="M26">
        <v>0.38059999999999999</v>
      </c>
      <c r="N26" t="s">
        <v>31</v>
      </c>
    </row>
    <row r="27" spans="1:14" x14ac:dyDescent="0.3">
      <c r="A27" t="s">
        <v>27</v>
      </c>
      <c r="B27">
        <v>1101</v>
      </c>
      <c r="C27">
        <v>785</v>
      </c>
      <c r="D27">
        <v>869</v>
      </c>
      <c r="E27">
        <v>1654</v>
      </c>
      <c r="F27">
        <v>3.61E-2</v>
      </c>
      <c r="G27">
        <v>2176</v>
      </c>
      <c r="H27">
        <v>2523.58</v>
      </c>
      <c r="I27">
        <v>-347.58</v>
      </c>
      <c r="J27">
        <v>2722.62</v>
      </c>
      <c r="K27">
        <v>2960.35</v>
      </c>
      <c r="L27">
        <v>-2.4872999999999998</v>
      </c>
      <c r="M27">
        <v>1.2999999999999999E-2</v>
      </c>
      <c r="N27" t="s">
        <v>33</v>
      </c>
    </row>
    <row r="28" spans="1:14" x14ac:dyDescent="0.3">
      <c r="A28" t="s">
        <v>26</v>
      </c>
      <c r="B28">
        <v>34</v>
      </c>
      <c r="C28">
        <v>225</v>
      </c>
      <c r="D28">
        <v>253</v>
      </c>
      <c r="E28">
        <v>478</v>
      </c>
      <c r="F28">
        <v>1.04E-2</v>
      </c>
      <c r="G28">
        <v>3104.51</v>
      </c>
      <c r="H28">
        <v>1752.61</v>
      </c>
      <c r="I28">
        <v>1351.9</v>
      </c>
      <c r="J28">
        <v>2956.83</v>
      </c>
      <c r="K28">
        <v>2529.6999999999998</v>
      </c>
      <c r="L28">
        <v>5.3376000000000001</v>
      </c>
      <c r="M28">
        <v>0</v>
      </c>
      <c r="N28" t="s">
        <v>32</v>
      </c>
    </row>
    <row r="29" spans="1:14" x14ac:dyDescent="0.3">
      <c r="A29" t="s">
        <v>18</v>
      </c>
      <c r="B29">
        <v>573</v>
      </c>
      <c r="C29">
        <v>177</v>
      </c>
      <c r="D29">
        <v>160</v>
      </c>
      <c r="E29">
        <v>337</v>
      </c>
      <c r="F29">
        <v>7.4000000000000003E-3</v>
      </c>
      <c r="G29">
        <v>2929.05</v>
      </c>
      <c r="H29">
        <v>1641.21</v>
      </c>
      <c r="I29">
        <v>1287.8399999999999</v>
      </c>
      <c r="J29">
        <v>3201.1</v>
      </c>
      <c r="K29">
        <v>2619.04</v>
      </c>
      <c r="L29">
        <v>4.0570000000000004</v>
      </c>
      <c r="M29">
        <v>1E-4</v>
      </c>
      <c r="N29" t="s">
        <v>32</v>
      </c>
    </row>
    <row r="30" spans="1:14" x14ac:dyDescent="0.3">
      <c r="A30" t="s">
        <v>27</v>
      </c>
      <c r="B30">
        <v>1989</v>
      </c>
      <c r="C30">
        <v>239</v>
      </c>
      <c r="D30">
        <v>270</v>
      </c>
      <c r="E30">
        <v>509</v>
      </c>
      <c r="F30">
        <v>1.11E-2</v>
      </c>
      <c r="G30">
        <v>4407.38</v>
      </c>
      <c r="H30">
        <v>4163.96</v>
      </c>
      <c r="I30">
        <v>243.42</v>
      </c>
      <c r="J30">
        <v>2737.9</v>
      </c>
      <c r="K30">
        <v>2492.1</v>
      </c>
      <c r="L30">
        <v>1.044</v>
      </c>
      <c r="M30">
        <v>0.29699999999999999</v>
      </c>
      <c r="N30" t="s">
        <v>31</v>
      </c>
    </row>
    <row r="31" spans="1:14" x14ac:dyDescent="0.3">
      <c r="A31" t="s">
        <v>18</v>
      </c>
      <c r="B31">
        <v>576</v>
      </c>
      <c r="C31">
        <v>630</v>
      </c>
      <c r="D31">
        <v>657</v>
      </c>
      <c r="E31">
        <v>1287</v>
      </c>
      <c r="F31">
        <v>2.81E-2</v>
      </c>
      <c r="G31">
        <v>1594.44</v>
      </c>
      <c r="H31">
        <v>1342.13</v>
      </c>
      <c r="I31">
        <v>252.31</v>
      </c>
      <c r="J31">
        <v>2683.73</v>
      </c>
      <c r="K31">
        <v>2415.8200000000002</v>
      </c>
      <c r="L31">
        <v>1.7702</v>
      </c>
      <c r="M31">
        <v>7.6899999999999996E-2</v>
      </c>
      <c r="N31" t="s">
        <v>31</v>
      </c>
    </row>
    <row r="32" spans="1:14" x14ac:dyDescent="0.3">
      <c r="A32" t="s">
        <v>18</v>
      </c>
      <c r="B32">
        <v>309</v>
      </c>
      <c r="C32">
        <v>240</v>
      </c>
      <c r="D32">
        <v>238</v>
      </c>
      <c r="E32">
        <v>478</v>
      </c>
      <c r="F32">
        <v>1.04E-2</v>
      </c>
      <c r="G32">
        <v>2706.28</v>
      </c>
      <c r="H32">
        <v>2392.89</v>
      </c>
      <c r="I32">
        <v>313.39</v>
      </c>
      <c r="J32">
        <v>2814.94</v>
      </c>
      <c r="K32">
        <v>2761.94</v>
      </c>
      <c r="L32">
        <v>1.2285999999999999</v>
      </c>
      <c r="M32">
        <v>0.2198</v>
      </c>
      <c r="N32" t="s">
        <v>31</v>
      </c>
    </row>
    <row r="33" spans="1:14" x14ac:dyDescent="0.3">
      <c r="A33" t="s">
        <v>19</v>
      </c>
      <c r="B33">
        <v>3987</v>
      </c>
      <c r="C33">
        <v>801</v>
      </c>
      <c r="D33">
        <v>785</v>
      </c>
      <c r="E33">
        <v>1586</v>
      </c>
      <c r="F33">
        <v>3.4599999999999999E-2</v>
      </c>
      <c r="G33">
        <v>1603</v>
      </c>
      <c r="H33">
        <v>1639.86</v>
      </c>
      <c r="I33">
        <v>-36.86</v>
      </c>
      <c r="J33">
        <v>2518.83</v>
      </c>
      <c r="K33">
        <v>2686.32</v>
      </c>
      <c r="L33">
        <v>-0.28179999999999999</v>
      </c>
      <c r="M33">
        <v>0.77810000000000001</v>
      </c>
      <c r="N33" t="s">
        <v>31</v>
      </c>
    </row>
    <row r="34" spans="1:14" x14ac:dyDescent="0.3">
      <c r="A34" t="s">
        <v>19</v>
      </c>
      <c r="B34">
        <v>8543</v>
      </c>
      <c r="C34">
        <v>148</v>
      </c>
      <c r="D34">
        <v>140</v>
      </c>
      <c r="E34">
        <v>288</v>
      </c>
      <c r="F34">
        <v>6.3E-3</v>
      </c>
      <c r="G34">
        <v>1859.78</v>
      </c>
      <c r="H34">
        <v>1804.25</v>
      </c>
      <c r="I34">
        <v>55.53</v>
      </c>
      <c r="J34">
        <v>2568.98</v>
      </c>
      <c r="K34">
        <v>3015.73</v>
      </c>
      <c r="L34">
        <v>0.1678</v>
      </c>
      <c r="M34">
        <v>0.8669</v>
      </c>
      <c r="N34" t="s">
        <v>31</v>
      </c>
    </row>
    <row r="35" spans="1:14" x14ac:dyDescent="0.3">
      <c r="A35" t="s">
        <v>17</v>
      </c>
      <c r="B35">
        <v>516</v>
      </c>
      <c r="C35">
        <v>634</v>
      </c>
      <c r="D35">
        <v>636</v>
      </c>
      <c r="E35">
        <v>1270</v>
      </c>
      <c r="F35">
        <v>2.7699999999999999E-2</v>
      </c>
      <c r="G35">
        <v>3245.2</v>
      </c>
      <c r="H35">
        <v>2880.48</v>
      </c>
      <c r="I35">
        <v>364.72</v>
      </c>
      <c r="J35">
        <v>4543.17</v>
      </c>
      <c r="K35">
        <v>3819.29</v>
      </c>
      <c r="L35">
        <v>1.5483</v>
      </c>
      <c r="M35">
        <v>0.12180000000000001</v>
      </c>
      <c r="N35" t="s">
        <v>31</v>
      </c>
    </row>
    <row r="36" spans="1:14" x14ac:dyDescent="0.3">
      <c r="A36" t="s">
        <v>18</v>
      </c>
      <c r="B36">
        <v>900</v>
      </c>
      <c r="C36">
        <v>335</v>
      </c>
      <c r="D36">
        <v>341</v>
      </c>
      <c r="E36">
        <v>676</v>
      </c>
      <c r="F36">
        <v>1.47E-2</v>
      </c>
      <c r="G36">
        <v>2450.9899999999998</v>
      </c>
      <c r="H36">
        <v>1689.79</v>
      </c>
      <c r="I36">
        <v>761.2</v>
      </c>
      <c r="J36">
        <v>2865.61</v>
      </c>
      <c r="K36">
        <v>2492.4699999999998</v>
      </c>
      <c r="L36">
        <v>3.6823999999999999</v>
      </c>
      <c r="M36">
        <v>2.9999999999999997E-4</v>
      </c>
      <c r="N36" t="s">
        <v>32</v>
      </c>
    </row>
    <row r="37" spans="1:14" x14ac:dyDescent="0.3">
      <c r="A37" t="s">
        <v>19</v>
      </c>
      <c r="B37">
        <v>2212</v>
      </c>
      <c r="C37">
        <v>422</v>
      </c>
      <c r="D37">
        <v>397</v>
      </c>
      <c r="E37">
        <v>819</v>
      </c>
      <c r="F37">
        <v>1.7899999999999999E-2</v>
      </c>
      <c r="G37">
        <v>2827.24</v>
      </c>
      <c r="H37">
        <v>2739.36</v>
      </c>
      <c r="I37">
        <v>87.88</v>
      </c>
      <c r="J37">
        <v>3197.54</v>
      </c>
      <c r="K37">
        <v>2446.98</v>
      </c>
      <c r="L37">
        <v>0.44319999999999998</v>
      </c>
      <c r="M37">
        <v>0.65769999999999995</v>
      </c>
      <c r="N37" t="s">
        <v>31</v>
      </c>
    </row>
    <row r="38" spans="1:14" x14ac:dyDescent="0.3">
      <c r="A38" t="s">
        <v>17</v>
      </c>
      <c r="B38">
        <v>439</v>
      </c>
      <c r="C38">
        <v>355</v>
      </c>
      <c r="D38">
        <v>351</v>
      </c>
      <c r="E38">
        <v>706</v>
      </c>
      <c r="F38">
        <v>1.54E-2</v>
      </c>
      <c r="G38">
        <v>2481.96</v>
      </c>
      <c r="H38">
        <v>2400.64</v>
      </c>
      <c r="I38">
        <v>81.319999999999993</v>
      </c>
      <c r="J38">
        <v>4040.44</v>
      </c>
      <c r="K38">
        <v>3722.12</v>
      </c>
      <c r="L38">
        <v>0.2782</v>
      </c>
      <c r="M38">
        <v>0.78090000000000004</v>
      </c>
      <c r="N38" t="s">
        <v>31</v>
      </c>
    </row>
    <row r="39" spans="1:14" x14ac:dyDescent="0.3">
      <c r="A39" t="s">
        <v>26</v>
      </c>
      <c r="B39">
        <v>35</v>
      </c>
      <c r="C39">
        <v>214</v>
      </c>
      <c r="D39">
        <v>194</v>
      </c>
      <c r="E39">
        <v>408</v>
      </c>
      <c r="F39">
        <v>8.8999999999999999E-3</v>
      </c>
      <c r="G39">
        <v>2762.22</v>
      </c>
      <c r="H39">
        <v>1508.84</v>
      </c>
      <c r="I39">
        <v>1253.3800000000001</v>
      </c>
      <c r="J39">
        <v>2977.08</v>
      </c>
      <c r="K39">
        <v>2184.81</v>
      </c>
      <c r="L39">
        <v>4.8780000000000001</v>
      </c>
      <c r="M39">
        <v>0</v>
      </c>
      <c r="N39" t="s">
        <v>32</v>
      </c>
    </row>
    <row r="40" spans="1:14" x14ac:dyDescent="0.3">
      <c r="A40" t="s">
        <v>18</v>
      </c>
      <c r="B40">
        <v>117</v>
      </c>
      <c r="C40">
        <v>625</v>
      </c>
      <c r="D40">
        <v>587</v>
      </c>
      <c r="E40">
        <v>1212</v>
      </c>
      <c r="F40">
        <v>2.64E-2</v>
      </c>
      <c r="G40">
        <v>2582.3000000000002</v>
      </c>
      <c r="H40">
        <v>2050.69</v>
      </c>
      <c r="I40">
        <v>531.61</v>
      </c>
      <c r="J40">
        <v>2835</v>
      </c>
      <c r="K40">
        <v>2595.7399999999998</v>
      </c>
      <c r="L40">
        <v>3.4076</v>
      </c>
      <c r="M40">
        <v>6.9999999999999999E-4</v>
      </c>
      <c r="N40" t="s">
        <v>32</v>
      </c>
    </row>
    <row r="41" spans="1:14" x14ac:dyDescent="0.3">
      <c r="A41" t="s">
        <v>19</v>
      </c>
      <c r="B41">
        <v>1654</v>
      </c>
      <c r="C41">
        <v>799</v>
      </c>
      <c r="D41">
        <v>775</v>
      </c>
      <c r="E41">
        <v>1574</v>
      </c>
      <c r="F41">
        <v>3.4299999999999997E-2</v>
      </c>
      <c r="G41">
        <v>3176.43</v>
      </c>
      <c r="H41">
        <v>2507.89</v>
      </c>
      <c r="I41">
        <v>668.54</v>
      </c>
      <c r="J41">
        <v>3208.05</v>
      </c>
      <c r="K41">
        <v>2950.51</v>
      </c>
      <c r="L41">
        <v>4.3052999999999999</v>
      </c>
      <c r="M41">
        <v>0</v>
      </c>
      <c r="N41" t="s">
        <v>32</v>
      </c>
    </row>
    <row r="42" spans="1:14" x14ac:dyDescent="0.3">
      <c r="A42" t="s">
        <v>14</v>
      </c>
      <c r="B42">
        <v>277</v>
      </c>
      <c r="C42">
        <v>708</v>
      </c>
      <c r="D42">
        <v>709</v>
      </c>
      <c r="E42">
        <v>1417</v>
      </c>
      <c r="F42">
        <v>3.09E-2</v>
      </c>
      <c r="G42">
        <v>2285.75</v>
      </c>
      <c r="H42">
        <v>2431.37</v>
      </c>
      <c r="I42">
        <v>-145.62</v>
      </c>
      <c r="J42">
        <v>2712.68</v>
      </c>
      <c r="K42">
        <v>2868.59</v>
      </c>
      <c r="L42">
        <v>-0.98170000000000002</v>
      </c>
      <c r="M42">
        <v>0.32640000000000002</v>
      </c>
      <c r="N42" t="s">
        <v>31</v>
      </c>
    </row>
    <row r="43" spans="1:14" x14ac:dyDescent="0.3">
      <c r="A43" t="s">
        <v>28</v>
      </c>
      <c r="B43">
        <v>69</v>
      </c>
      <c r="C43">
        <v>75</v>
      </c>
      <c r="D43">
        <v>78</v>
      </c>
      <c r="E43">
        <v>153</v>
      </c>
      <c r="F43">
        <v>3.3E-3</v>
      </c>
      <c r="G43">
        <v>1171.45</v>
      </c>
      <c r="H43">
        <v>600.15</v>
      </c>
      <c r="I43">
        <v>571.29999999999995</v>
      </c>
      <c r="J43">
        <v>2578.1</v>
      </c>
      <c r="K43">
        <v>1690.14</v>
      </c>
      <c r="L43">
        <v>1.6143000000000001</v>
      </c>
      <c r="M43">
        <v>0.1089</v>
      </c>
      <c r="N43" t="s">
        <v>31</v>
      </c>
    </row>
    <row r="44" spans="1:14" x14ac:dyDescent="0.3">
      <c r="A44" t="s">
        <v>29</v>
      </c>
      <c r="B44">
        <v>23</v>
      </c>
      <c r="C44">
        <v>124</v>
      </c>
      <c r="D44">
        <v>107</v>
      </c>
      <c r="E44">
        <v>231</v>
      </c>
      <c r="F44">
        <v>5.0000000000000001E-3</v>
      </c>
      <c r="G44">
        <v>1384.63</v>
      </c>
      <c r="H44">
        <v>1315.98</v>
      </c>
      <c r="I44">
        <v>68.650000000000006</v>
      </c>
      <c r="J44">
        <v>2471.69</v>
      </c>
      <c r="K44">
        <v>2220.0100000000002</v>
      </c>
      <c r="L44">
        <v>0.2223</v>
      </c>
      <c r="M44">
        <v>0.82420000000000004</v>
      </c>
      <c r="N44" t="s">
        <v>31</v>
      </c>
    </row>
    <row r="45" spans="1:14" x14ac:dyDescent="0.3">
      <c r="A45" t="s">
        <v>20</v>
      </c>
      <c r="B45">
        <v>82</v>
      </c>
      <c r="C45">
        <v>169</v>
      </c>
      <c r="D45">
        <v>229</v>
      </c>
      <c r="E45">
        <v>398</v>
      </c>
      <c r="F45">
        <v>8.6999999999999994E-3</v>
      </c>
      <c r="G45">
        <v>2586.0100000000002</v>
      </c>
      <c r="H45">
        <v>2655.67</v>
      </c>
      <c r="I45">
        <v>-69.66</v>
      </c>
      <c r="J45">
        <v>2676.44</v>
      </c>
      <c r="K45">
        <v>2929.36</v>
      </c>
      <c r="L45">
        <v>-0.2465</v>
      </c>
      <c r="M45">
        <v>0.8054</v>
      </c>
      <c r="N45" t="s">
        <v>31</v>
      </c>
    </row>
    <row r="46" spans="1:14" x14ac:dyDescent="0.3">
      <c r="A46" t="s">
        <v>18</v>
      </c>
      <c r="B46">
        <v>213</v>
      </c>
      <c r="C46">
        <v>232</v>
      </c>
      <c r="D46">
        <v>255</v>
      </c>
      <c r="E46">
        <v>487</v>
      </c>
      <c r="F46">
        <v>1.06E-2</v>
      </c>
      <c r="G46">
        <v>2977.63</v>
      </c>
      <c r="H46">
        <v>2277.61</v>
      </c>
      <c r="I46">
        <v>700.02</v>
      </c>
      <c r="J46">
        <v>2905.49</v>
      </c>
      <c r="K46">
        <v>2710.04</v>
      </c>
      <c r="L46">
        <v>2.7416999999999998</v>
      </c>
      <c r="M46">
        <v>6.3E-3</v>
      </c>
      <c r="N46" t="s">
        <v>32</v>
      </c>
    </row>
    <row r="47" spans="1:14" x14ac:dyDescent="0.3">
      <c r="A47" t="s">
        <v>26</v>
      </c>
      <c r="B47">
        <v>36</v>
      </c>
      <c r="C47">
        <v>131</v>
      </c>
      <c r="D47">
        <v>141</v>
      </c>
      <c r="E47">
        <v>272</v>
      </c>
      <c r="F47">
        <v>5.8999999999999999E-3</v>
      </c>
      <c r="G47">
        <v>1987.33</v>
      </c>
      <c r="H47">
        <v>860.42</v>
      </c>
      <c r="I47">
        <v>1126.9100000000001</v>
      </c>
      <c r="J47">
        <v>2718.5</v>
      </c>
      <c r="K47">
        <v>1840.83</v>
      </c>
      <c r="L47">
        <v>3.9731000000000001</v>
      </c>
      <c r="M47">
        <v>1E-4</v>
      </c>
      <c r="N47" t="s">
        <v>32</v>
      </c>
    </row>
    <row r="48" spans="1:14" x14ac:dyDescent="0.3">
      <c r="A48" t="s">
        <v>24</v>
      </c>
      <c r="B48">
        <v>73</v>
      </c>
      <c r="C48">
        <v>187</v>
      </c>
      <c r="D48">
        <v>167</v>
      </c>
      <c r="E48">
        <v>354</v>
      </c>
      <c r="F48">
        <v>7.7000000000000002E-3</v>
      </c>
      <c r="G48">
        <v>2092.1799999999998</v>
      </c>
      <c r="H48">
        <v>2521.96</v>
      </c>
      <c r="I48">
        <v>-429.78</v>
      </c>
      <c r="J48">
        <v>2530.27</v>
      </c>
      <c r="K48">
        <v>2875.46</v>
      </c>
      <c r="L48">
        <v>-1.4851000000000001</v>
      </c>
      <c r="M48">
        <v>0.13850000000000001</v>
      </c>
      <c r="N48" t="s">
        <v>31</v>
      </c>
    </row>
    <row r="49" spans="1:14" x14ac:dyDescent="0.3">
      <c r="A49" t="s">
        <v>18</v>
      </c>
      <c r="B49">
        <v>891</v>
      </c>
      <c r="C49">
        <v>159</v>
      </c>
      <c r="D49">
        <v>167</v>
      </c>
      <c r="E49">
        <v>326</v>
      </c>
      <c r="F49">
        <v>7.1000000000000004E-3</v>
      </c>
      <c r="G49">
        <v>2618.9499999999998</v>
      </c>
      <c r="H49">
        <v>1980.66</v>
      </c>
      <c r="I49">
        <v>638.29</v>
      </c>
      <c r="J49">
        <v>2899.78</v>
      </c>
      <c r="K49">
        <v>2489.5700000000002</v>
      </c>
      <c r="L49">
        <v>2.1276999999999999</v>
      </c>
      <c r="M49">
        <v>3.4200000000000001E-2</v>
      </c>
      <c r="N49" t="s">
        <v>32</v>
      </c>
    </row>
    <row r="50" spans="1:14" x14ac:dyDescent="0.3">
      <c r="A50" t="s">
        <v>19</v>
      </c>
      <c r="B50">
        <v>9121</v>
      </c>
      <c r="C50">
        <v>131</v>
      </c>
      <c r="D50">
        <v>108</v>
      </c>
      <c r="E50">
        <v>239</v>
      </c>
      <c r="F50">
        <v>5.1999999999999998E-3</v>
      </c>
      <c r="G50">
        <v>1976.85</v>
      </c>
      <c r="H50">
        <v>1856.94</v>
      </c>
      <c r="I50">
        <v>119.91</v>
      </c>
      <c r="J50">
        <v>2605.8000000000002</v>
      </c>
      <c r="K50">
        <v>2442.33</v>
      </c>
      <c r="L50">
        <v>0.36649999999999999</v>
      </c>
      <c r="M50">
        <v>0.71430000000000005</v>
      </c>
      <c r="N50" t="s">
        <v>31</v>
      </c>
    </row>
    <row r="51" spans="1:14" x14ac:dyDescent="0.3">
      <c r="A51" t="s">
        <v>19</v>
      </c>
      <c r="B51">
        <v>9931</v>
      </c>
      <c r="C51">
        <v>153</v>
      </c>
      <c r="D51">
        <v>137</v>
      </c>
      <c r="E51">
        <v>290</v>
      </c>
      <c r="F51">
        <v>6.3E-3</v>
      </c>
      <c r="G51">
        <v>1415.78</v>
      </c>
      <c r="H51">
        <v>1968.69</v>
      </c>
      <c r="I51">
        <v>-552.91</v>
      </c>
      <c r="J51">
        <v>2038.16</v>
      </c>
      <c r="K51">
        <v>2403.4</v>
      </c>
      <c r="L51">
        <v>-2.1000999999999999</v>
      </c>
      <c r="M51">
        <v>3.6700000000000003E-2</v>
      </c>
      <c r="N51" t="s">
        <v>33</v>
      </c>
    </row>
    <row r="52" spans="1:14" x14ac:dyDescent="0.3">
      <c r="A52" t="s">
        <v>30</v>
      </c>
      <c r="B52">
        <v>2</v>
      </c>
      <c r="C52">
        <v>78</v>
      </c>
      <c r="D52">
        <v>71</v>
      </c>
      <c r="E52">
        <v>149</v>
      </c>
      <c r="F52">
        <v>3.3E-3</v>
      </c>
      <c r="G52">
        <v>579.33000000000004</v>
      </c>
      <c r="H52">
        <v>483.45</v>
      </c>
      <c r="I52">
        <v>95.88</v>
      </c>
      <c r="J52">
        <v>1860.76</v>
      </c>
      <c r="K52">
        <v>1654.92</v>
      </c>
      <c r="L52">
        <v>0.33289999999999997</v>
      </c>
      <c r="M52">
        <v>0.73970000000000002</v>
      </c>
      <c r="N52" t="s">
        <v>31</v>
      </c>
    </row>
    <row r="53" spans="1:14" x14ac:dyDescent="0.3">
      <c r="A53" t="s">
        <v>19</v>
      </c>
      <c r="B53">
        <v>3786</v>
      </c>
      <c r="C53">
        <v>237</v>
      </c>
      <c r="D53">
        <v>278</v>
      </c>
      <c r="E53">
        <v>515</v>
      </c>
      <c r="F53">
        <v>1.12E-2</v>
      </c>
      <c r="G53">
        <v>2636.66</v>
      </c>
      <c r="H53">
        <v>2688.23</v>
      </c>
      <c r="I53">
        <v>-51.57</v>
      </c>
      <c r="J53">
        <v>2713.06</v>
      </c>
      <c r="K53">
        <v>3292.94</v>
      </c>
      <c r="L53">
        <v>-0.1948</v>
      </c>
      <c r="M53">
        <v>0.84560000000000002</v>
      </c>
      <c r="N53" t="s">
        <v>31</v>
      </c>
    </row>
    <row r="54" spans="1:14" x14ac:dyDescent="0.3">
      <c r="A54" t="s">
        <v>19</v>
      </c>
      <c r="B54">
        <v>1002</v>
      </c>
      <c r="C54">
        <v>138</v>
      </c>
      <c r="D54">
        <v>188</v>
      </c>
      <c r="E54">
        <v>326</v>
      </c>
      <c r="F54">
        <v>7.1000000000000004E-3</v>
      </c>
      <c r="G54">
        <v>4144.8599999999997</v>
      </c>
      <c r="H54">
        <v>1844.79</v>
      </c>
      <c r="I54">
        <v>2300.0700000000002</v>
      </c>
      <c r="J54">
        <v>4069.77</v>
      </c>
      <c r="K54">
        <v>2436.54</v>
      </c>
      <c r="L54">
        <v>5.9073000000000002</v>
      </c>
      <c r="M54">
        <v>0</v>
      </c>
      <c r="N5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3F67-136C-4F8E-B158-BFB9ED51DDA4}">
  <sheetPr>
    <tabColor rgb="FFFFFF00"/>
  </sheetPr>
  <dimension ref="B2:C9"/>
  <sheetViews>
    <sheetView tabSelected="1" workbookViewId="0">
      <selection activeCell="C9" sqref="C9"/>
    </sheetView>
  </sheetViews>
  <sheetFormatPr defaultRowHeight="14.4" x14ac:dyDescent="0.3"/>
  <cols>
    <col min="2" max="2" width="23.88671875" customWidth="1"/>
    <col min="3" max="3" width="9.33203125" bestFit="1" customWidth="1"/>
  </cols>
  <sheetData>
    <row r="2" spans="2:3" x14ac:dyDescent="0.3">
      <c r="B2" s="5" t="s">
        <v>34</v>
      </c>
      <c r="C2" s="6"/>
    </row>
    <row r="3" spans="2:3" x14ac:dyDescent="0.3">
      <c r="B3" s="2" t="s">
        <v>35</v>
      </c>
      <c r="C3" s="3">
        <v>10000</v>
      </c>
    </row>
    <row r="4" spans="2:3" x14ac:dyDescent="0.3">
      <c r="B4" s="2" t="s">
        <v>36</v>
      </c>
      <c r="C4" s="4">
        <v>1000</v>
      </c>
    </row>
    <row r="5" spans="2:3" x14ac:dyDescent="0.3">
      <c r="B5" s="5" t="s">
        <v>37</v>
      </c>
      <c r="C5" s="6"/>
    </row>
    <row r="6" spans="2:3" x14ac:dyDescent="0.3">
      <c r="B6" s="2" t="s">
        <v>32</v>
      </c>
      <c r="C6" s="3">
        <f>SUM(положительные!O19)</f>
        <v>2626617.17</v>
      </c>
    </row>
    <row r="7" spans="2:3" x14ac:dyDescent="0.3">
      <c r="B7" s="2" t="s">
        <v>33</v>
      </c>
      <c r="C7" s="8">
        <f>SUM(отрицательные!O5)</f>
        <v>-253238.03999999998</v>
      </c>
    </row>
    <row r="8" spans="2:3" x14ac:dyDescent="0.3">
      <c r="B8" s="2" t="s">
        <v>38</v>
      </c>
      <c r="C8" s="7">
        <f>C6+C7</f>
        <v>2373379.13</v>
      </c>
    </row>
    <row r="9" spans="2:3" x14ac:dyDescent="0.3">
      <c r="B9" s="2" t="s">
        <v>39</v>
      </c>
      <c r="C9" s="12">
        <f>SUM('нейтральный исход'!O35)</f>
        <v>44.648928945792001</v>
      </c>
    </row>
  </sheetData>
  <mergeCells count="2">
    <mergeCell ref="B2:C2"/>
    <mergeCell ref="B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workbookViewId="0">
      <selection activeCell="O2" sqref="O2"/>
    </sheetView>
  </sheetViews>
  <sheetFormatPr defaultRowHeight="14.4" x14ac:dyDescent="0.3"/>
  <cols>
    <col min="6" max="6" width="12.5546875" customWidth="1"/>
    <col min="14" max="14" width="21" customWidth="1"/>
    <col min="15" max="15" width="22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9" t="s">
        <v>41</v>
      </c>
    </row>
    <row r="2" spans="1:15" x14ac:dyDescent="0.3">
      <c r="A2" t="s">
        <v>17</v>
      </c>
      <c r="B2">
        <v>991</v>
      </c>
      <c r="C2">
        <v>270</v>
      </c>
      <c r="D2">
        <v>294</v>
      </c>
      <c r="E2">
        <v>564</v>
      </c>
      <c r="F2">
        <v>1.23E-2</v>
      </c>
      <c r="G2">
        <v>3249.28</v>
      </c>
      <c r="H2">
        <v>2452.9899999999998</v>
      </c>
      <c r="I2">
        <v>796.29</v>
      </c>
      <c r="J2">
        <v>4719.59</v>
      </c>
      <c r="K2">
        <v>3633.94</v>
      </c>
      <c r="L2">
        <v>2.2307999999999999</v>
      </c>
      <c r="M2">
        <v>2.6100000000000002E-2</v>
      </c>
      <c r="N2" t="s">
        <v>32</v>
      </c>
      <c r="O2">
        <f xml:space="preserve"> I2 * F2 * Калькулятор!$C$3</f>
        <v>97943.67</v>
      </c>
    </row>
    <row r="3" spans="1:15" x14ac:dyDescent="0.3">
      <c r="A3" t="s">
        <v>18</v>
      </c>
      <c r="B3">
        <v>453</v>
      </c>
      <c r="C3">
        <v>1066</v>
      </c>
      <c r="D3">
        <v>1049</v>
      </c>
      <c r="E3">
        <v>2115</v>
      </c>
      <c r="F3">
        <v>4.6100000000000002E-2</v>
      </c>
      <c r="G3">
        <v>2501.9699999999998</v>
      </c>
      <c r="H3">
        <v>1889.92</v>
      </c>
      <c r="I3">
        <v>612.04999999999995</v>
      </c>
      <c r="J3">
        <v>2993.44</v>
      </c>
      <c r="K3">
        <v>2648.66</v>
      </c>
      <c r="L3">
        <v>4.9817999999999998</v>
      </c>
      <c r="M3">
        <v>0</v>
      </c>
      <c r="N3" t="s">
        <v>32</v>
      </c>
      <c r="O3">
        <f xml:space="preserve"> I3 * F3 * Калькулятор!$C$3</f>
        <v>282155.05</v>
      </c>
    </row>
    <row r="4" spans="1:15" x14ac:dyDescent="0.3">
      <c r="A4" t="s">
        <v>19</v>
      </c>
      <c r="B4">
        <v>2652</v>
      </c>
      <c r="C4">
        <v>2273</v>
      </c>
      <c r="D4">
        <v>2370</v>
      </c>
      <c r="E4">
        <v>4643</v>
      </c>
      <c r="F4">
        <v>0.1013</v>
      </c>
      <c r="G4">
        <v>2508.89</v>
      </c>
      <c r="H4">
        <v>1972.85</v>
      </c>
      <c r="I4">
        <v>536.04</v>
      </c>
      <c r="J4">
        <v>2846.64</v>
      </c>
      <c r="K4">
        <v>2565.88</v>
      </c>
      <c r="L4">
        <v>6.7305999999999999</v>
      </c>
      <c r="M4">
        <v>0</v>
      </c>
      <c r="N4" t="s">
        <v>32</v>
      </c>
      <c r="O4">
        <f xml:space="preserve"> I4 * F4 * Калькулятор!$C$3</f>
        <v>543008.52</v>
      </c>
    </row>
    <row r="5" spans="1:15" x14ac:dyDescent="0.3">
      <c r="A5" t="s">
        <v>25</v>
      </c>
      <c r="B5">
        <v>11</v>
      </c>
      <c r="C5">
        <v>509</v>
      </c>
      <c r="D5">
        <v>608</v>
      </c>
      <c r="E5">
        <v>1117</v>
      </c>
      <c r="F5">
        <v>2.4400000000000002E-2</v>
      </c>
      <c r="G5">
        <v>2547.2199999999998</v>
      </c>
      <c r="H5">
        <v>2108.61</v>
      </c>
      <c r="I5">
        <v>438.61</v>
      </c>
      <c r="J5">
        <v>3023.7</v>
      </c>
      <c r="K5">
        <v>2663.04</v>
      </c>
      <c r="L5">
        <v>2.5482</v>
      </c>
      <c r="M5">
        <v>1.0999999999999999E-2</v>
      </c>
      <c r="N5" t="s">
        <v>32</v>
      </c>
      <c r="O5">
        <f xml:space="preserve"> I5 * F5 * Калькулятор!$C$3</f>
        <v>107020.84000000001</v>
      </c>
    </row>
    <row r="6" spans="1:15" x14ac:dyDescent="0.3">
      <c r="A6" t="s">
        <v>19</v>
      </c>
      <c r="B6">
        <v>1287</v>
      </c>
      <c r="C6">
        <v>370</v>
      </c>
      <c r="D6">
        <v>357</v>
      </c>
      <c r="E6">
        <v>727</v>
      </c>
      <c r="F6">
        <v>1.5900000000000001E-2</v>
      </c>
      <c r="G6">
        <v>2143.4899999999998</v>
      </c>
      <c r="H6">
        <v>1394.66</v>
      </c>
      <c r="I6">
        <v>748.83</v>
      </c>
      <c r="J6">
        <v>2441.2199999999998</v>
      </c>
      <c r="K6">
        <v>2338.46</v>
      </c>
      <c r="L6">
        <v>4.2243000000000004</v>
      </c>
      <c r="M6">
        <v>0</v>
      </c>
      <c r="N6" t="s">
        <v>32</v>
      </c>
      <c r="O6">
        <f xml:space="preserve"> I6 * F6 * Калькулятор!$C$3</f>
        <v>119063.97000000002</v>
      </c>
    </row>
    <row r="7" spans="1:15" x14ac:dyDescent="0.3">
      <c r="A7" t="s">
        <v>18</v>
      </c>
      <c r="B7">
        <v>801</v>
      </c>
      <c r="C7">
        <v>225</v>
      </c>
      <c r="D7">
        <v>212</v>
      </c>
      <c r="E7">
        <v>437</v>
      </c>
      <c r="F7">
        <v>9.4999999999999998E-3</v>
      </c>
      <c r="G7">
        <v>2925.14</v>
      </c>
      <c r="H7">
        <v>2352.2800000000002</v>
      </c>
      <c r="I7">
        <v>572.86</v>
      </c>
      <c r="J7">
        <v>2774.29</v>
      </c>
      <c r="K7">
        <v>2928.29</v>
      </c>
      <c r="L7">
        <v>2.0966</v>
      </c>
      <c r="M7">
        <v>3.6600000000000001E-2</v>
      </c>
      <c r="N7" t="s">
        <v>32</v>
      </c>
      <c r="O7">
        <f xml:space="preserve"> I7 * F7 * Калькулятор!$C$3</f>
        <v>54421.7</v>
      </c>
    </row>
    <row r="8" spans="1:15" x14ac:dyDescent="0.3">
      <c r="A8" t="s">
        <v>26</v>
      </c>
      <c r="B8">
        <v>33</v>
      </c>
      <c r="C8">
        <v>232</v>
      </c>
      <c r="D8">
        <v>258</v>
      </c>
      <c r="E8">
        <v>490</v>
      </c>
      <c r="F8">
        <v>1.0699999999999999E-2</v>
      </c>
      <c r="G8">
        <v>4598.22</v>
      </c>
      <c r="H8">
        <v>2311.39</v>
      </c>
      <c r="I8">
        <v>2286.83</v>
      </c>
      <c r="J8">
        <v>2931.23</v>
      </c>
      <c r="K8">
        <v>2371.77</v>
      </c>
      <c r="L8">
        <v>9.4276</v>
      </c>
      <c r="M8">
        <v>0</v>
      </c>
      <c r="N8" t="s">
        <v>32</v>
      </c>
      <c r="O8">
        <f xml:space="preserve"> I8 * F8 * Калькулятор!$C$3</f>
        <v>244690.81</v>
      </c>
    </row>
    <row r="9" spans="1:15" x14ac:dyDescent="0.3">
      <c r="A9" t="s">
        <v>26</v>
      </c>
      <c r="B9">
        <v>34</v>
      </c>
      <c r="C9">
        <v>225</v>
      </c>
      <c r="D9">
        <v>253</v>
      </c>
      <c r="E9">
        <v>478</v>
      </c>
      <c r="F9">
        <v>1.04E-2</v>
      </c>
      <c r="G9">
        <v>3104.51</v>
      </c>
      <c r="H9">
        <v>1752.61</v>
      </c>
      <c r="I9">
        <v>1351.9</v>
      </c>
      <c r="J9">
        <v>2956.83</v>
      </c>
      <c r="K9">
        <v>2529.6999999999998</v>
      </c>
      <c r="L9">
        <v>5.3376000000000001</v>
      </c>
      <c r="M9">
        <v>0</v>
      </c>
      <c r="N9" t="s">
        <v>32</v>
      </c>
      <c r="O9">
        <f xml:space="preserve"> I9 * F9 * Калькулятор!$C$3</f>
        <v>140597.6</v>
      </c>
    </row>
    <row r="10" spans="1:15" x14ac:dyDescent="0.3">
      <c r="A10" t="s">
        <v>18</v>
      </c>
      <c r="B10">
        <v>573</v>
      </c>
      <c r="C10">
        <v>177</v>
      </c>
      <c r="D10">
        <v>160</v>
      </c>
      <c r="E10">
        <v>337</v>
      </c>
      <c r="F10">
        <v>7.4000000000000003E-3</v>
      </c>
      <c r="G10">
        <v>2929.05</v>
      </c>
      <c r="H10">
        <v>1641.21</v>
      </c>
      <c r="I10">
        <v>1287.8399999999999</v>
      </c>
      <c r="J10">
        <v>3201.1</v>
      </c>
      <c r="K10">
        <v>2619.04</v>
      </c>
      <c r="L10">
        <v>4.0570000000000004</v>
      </c>
      <c r="M10">
        <v>1E-4</v>
      </c>
      <c r="N10" t="s">
        <v>32</v>
      </c>
      <c r="O10">
        <f xml:space="preserve"> I10 * F10 * Калькулятор!$C$3</f>
        <v>95300.160000000003</v>
      </c>
    </row>
    <row r="11" spans="1:15" x14ac:dyDescent="0.3">
      <c r="A11" t="s">
        <v>18</v>
      </c>
      <c r="B11">
        <v>900</v>
      </c>
      <c r="C11">
        <v>335</v>
      </c>
      <c r="D11">
        <v>341</v>
      </c>
      <c r="E11">
        <v>676</v>
      </c>
      <c r="F11">
        <v>1.47E-2</v>
      </c>
      <c r="G11">
        <v>2450.9899999999998</v>
      </c>
      <c r="H11">
        <v>1689.79</v>
      </c>
      <c r="I11">
        <v>761.2</v>
      </c>
      <c r="J11">
        <v>2865.61</v>
      </c>
      <c r="K11">
        <v>2492.4699999999998</v>
      </c>
      <c r="L11">
        <v>3.6823999999999999</v>
      </c>
      <c r="M11">
        <v>2.9999999999999997E-4</v>
      </c>
      <c r="N11" t="s">
        <v>32</v>
      </c>
      <c r="O11">
        <f xml:space="preserve"> I11 * F11 * Калькулятор!$C$3</f>
        <v>111896.40000000001</v>
      </c>
    </row>
    <row r="12" spans="1:15" x14ac:dyDescent="0.3">
      <c r="A12" t="s">
        <v>26</v>
      </c>
      <c r="B12">
        <v>35</v>
      </c>
      <c r="C12">
        <v>214</v>
      </c>
      <c r="D12">
        <v>194</v>
      </c>
      <c r="E12">
        <v>408</v>
      </c>
      <c r="F12">
        <v>8.8999999999999999E-3</v>
      </c>
      <c r="G12">
        <v>2762.22</v>
      </c>
      <c r="H12">
        <v>1508.84</v>
      </c>
      <c r="I12">
        <v>1253.3800000000001</v>
      </c>
      <c r="J12">
        <v>2977.08</v>
      </c>
      <c r="K12">
        <v>2184.81</v>
      </c>
      <c r="L12">
        <v>4.8780000000000001</v>
      </c>
      <c r="M12">
        <v>0</v>
      </c>
      <c r="N12" t="s">
        <v>32</v>
      </c>
      <c r="O12">
        <f xml:space="preserve"> I12 * F12 * Калькулятор!$C$3</f>
        <v>111550.82</v>
      </c>
    </row>
    <row r="13" spans="1:15" x14ac:dyDescent="0.3">
      <c r="A13" t="s">
        <v>18</v>
      </c>
      <c r="B13">
        <v>117</v>
      </c>
      <c r="C13">
        <v>625</v>
      </c>
      <c r="D13">
        <v>587</v>
      </c>
      <c r="E13">
        <v>1212</v>
      </c>
      <c r="F13">
        <v>2.64E-2</v>
      </c>
      <c r="G13">
        <v>2582.3000000000002</v>
      </c>
      <c r="H13">
        <v>2050.69</v>
      </c>
      <c r="I13">
        <v>531.61</v>
      </c>
      <c r="J13">
        <v>2835</v>
      </c>
      <c r="K13">
        <v>2595.7399999999998</v>
      </c>
      <c r="L13">
        <v>3.4076</v>
      </c>
      <c r="M13">
        <v>6.9999999999999999E-4</v>
      </c>
      <c r="N13" t="s">
        <v>32</v>
      </c>
      <c r="O13">
        <f xml:space="preserve"> I13 * F13 * Калькулятор!$C$3</f>
        <v>140345.04</v>
      </c>
    </row>
    <row r="14" spans="1:15" x14ac:dyDescent="0.3">
      <c r="A14" t="s">
        <v>19</v>
      </c>
      <c r="B14">
        <v>1654</v>
      </c>
      <c r="C14">
        <v>799</v>
      </c>
      <c r="D14">
        <v>775</v>
      </c>
      <c r="E14">
        <v>1574</v>
      </c>
      <c r="F14">
        <v>3.4299999999999997E-2</v>
      </c>
      <c r="G14">
        <v>3176.43</v>
      </c>
      <c r="H14">
        <v>2507.89</v>
      </c>
      <c r="I14">
        <v>668.54</v>
      </c>
      <c r="J14">
        <v>3208.05</v>
      </c>
      <c r="K14">
        <v>2950.51</v>
      </c>
      <c r="L14">
        <v>4.3052999999999999</v>
      </c>
      <c r="M14">
        <v>0</v>
      </c>
      <c r="N14" t="s">
        <v>32</v>
      </c>
      <c r="O14">
        <f xml:space="preserve"> I14 * F14 * Калькулятор!$C$3</f>
        <v>229309.21999999994</v>
      </c>
    </row>
    <row r="15" spans="1:15" x14ac:dyDescent="0.3">
      <c r="A15" t="s">
        <v>18</v>
      </c>
      <c r="B15">
        <v>213</v>
      </c>
      <c r="C15">
        <v>232</v>
      </c>
      <c r="D15">
        <v>255</v>
      </c>
      <c r="E15">
        <v>487</v>
      </c>
      <c r="F15">
        <v>1.06E-2</v>
      </c>
      <c r="G15">
        <v>2977.63</v>
      </c>
      <c r="H15">
        <v>2277.61</v>
      </c>
      <c r="I15">
        <v>700.02</v>
      </c>
      <c r="J15">
        <v>2905.49</v>
      </c>
      <c r="K15">
        <v>2710.04</v>
      </c>
      <c r="L15">
        <v>2.7416999999999998</v>
      </c>
      <c r="M15">
        <v>6.3E-3</v>
      </c>
      <c r="N15" t="s">
        <v>32</v>
      </c>
      <c r="O15">
        <f xml:space="preserve"> I15 * F15 * Калькулятор!$C$3</f>
        <v>74202.12</v>
      </c>
    </row>
    <row r="16" spans="1:15" x14ac:dyDescent="0.3">
      <c r="A16" t="s">
        <v>26</v>
      </c>
      <c r="B16">
        <v>36</v>
      </c>
      <c r="C16">
        <v>131</v>
      </c>
      <c r="D16">
        <v>141</v>
      </c>
      <c r="E16">
        <v>272</v>
      </c>
      <c r="F16">
        <v>5.8999999999999999E-3</v>
      </c>
      <c r="G16">
        <v>1987.33</v>
      </c>
      <c r="H16">
        <v>860.42</v>
      </c>
      <c r="I16">
        <v>1126.9100000000001</v>
      </c>
      <c r="J16">
        <v>2718.5</v>
      </c>
      <c r="K16">
        <v>1840.83</v>
      </c>
      <c r="L16">
        <v>3.9731000000000001</v>
      </c>
      <c r="M16">
        <v>1E-4</v>
      </c>
      <c r="N16" t="s">
        <v>32</v>
      </c>
      <c r="O16">
        <f xml:space="preserve"> I16 * F16 * Калькулятор!$C$3</f>
        <v>66487.69</v>
      </c>
    </row>
    <row r="17" spans="1:15" x14ac:dyDescent="0.3">
      <c r="A17" t="s">
        <v>18</v>
      </c>
      <c r="B17">
        <v>891</v>
      </c>
      <c r="C17">
        <v>159</v>
      </c>
      <c r="D17">
        <v>167</v>
      </c>
      <c r="E17">
        <v>326</v>
      </c>
      <c r="F17">
        <v>7.1000000000000004E-3</v>
      </c>
      <c r="G17">
        <v>2618.9499999999998</v>
      </c>
      <c r="H17">
        <v>1980.66</v>
      </c>
      <c r="I17">
        <v>638.29</v>
      </c>
      <c r="J17">
        <v>2899.78</v>
      </c>
      <c r="K17">
        <v>2489.5700000000002</v>
      </c>
      <c r="L17">
        <v>2.1276999999999999</v>
      </c>
      <c r="M17">
        <v>3.4200000000000001E-2</v>
      </c>
      <c r="N17" t="s">
        <v>32</v>
      </c>
      <c r="O17">
        <f xml:space="preserve"> I17 * F17 * Калькулятор!$C$3</f>
        <v>45318.59</v>
      </c>
    </row>
    <row r="18" spans="1:15" x14ac:dyDescent="0.3">
      <c r="A18" t="s">
        <v>19</v>
      </c>
      <c r="B18">
        <v>1002</v>
      </c>
      <c r="C18">
        <v>138</v>
      </c>
      <c r="D18">
        <v>188</v>
      </c>
      <c r="E18">
        <v>326</v>
      </c>
      <c r="F18">
        <v>7.1000000000000004E-3</v>
      </c>
      <c r="G18">
        <v>4144.8599999999997</v>
      </c>
      <c r="H18">
        <v>1844.79</v>
      </c>
      <c r="I18">
        <v>2300.0700000000002</v>
      </c>
      <c r="J18">
        <v>4069.77</v>
      </c>
      <c r="K18">
        <v>2436.54</v>
      </c>
      <c r="L18">
        <v>5.9073000000000002</v>
      </c>
      <c r="M18">
        <v>0</v>
      </c>
      <c r="N18" t="s">
        <v>32</v>
      </c>
      <c r="O18">
        <f xml:space="preserve"> I18 * F18 * Калькулятор!$C$3</f>
        <v>163304.97</v>
      </c>
    </row>
    <row r="19" spans="1:15" x14ac:dyDescent="0.3">
      <c r="O19" s="11">
        <f>SUM(O2:O18)</f>
        <v>2626617.17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>
      <selection activeCell="O5" sqref="O5"/>
    </sheetView>
  </sheetViews>
  <sheetFormatPr defaultRowHeight="14.4" x14ac:dyDescent="0.3"/>
  <cols>
    <col min="6" max="6" width="12.33203125" customWidth="1"/>
    <col min="14" max="14" width="21" customWidth="1"/>
    <col min="15" max="15" width="19.2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9" t="s">
        <v>41</v>
      </c>
    </row>
    <row r="2" spans="1:15" x14ac:dyDescent="0.3">
      <c r="A2" t="s">
        <v>23</v>
      </c>
      <c r="B2">
        <v>66</v>
      </c>
      <c r="C2">
        <v>657</v>
      </c>
      <c r="D2">
        <v>703</v>
      </c>
      <c r="E2">
        <v>1360</v>
      </c>
      <c r="F2">
        <v>2.9700000000000001E-2</v>
      </c>
      <c r="G2">
        <v>2288.87</v>
      </c>
      <c r="H2">
        <v>2601.7600000000002</v>
      </c>
      <c r="I2">
        <v>-312.89</v>
      </c>
      <c r="J2">
        <v>2682.57</v>
      </c>
      <c r="K2">
        <v>2830.19</v>
      </c>
      <c r="L2">
        <v>-2.0931000000000002</v>
      </c>
      <c r="M2">
        <v>3.6499999999999998E-2</v>
      </c>
      <c r="N2" t="s">
        <v>33</v>
      </c>
      <c r="O2">
        <f xml:space="preserve"> I2 * F2 * Калькулятор!$C$3</f>
        <v>-92928.33</v>
      </c>
    </row>
    <row r="3" spans="1:15" x14ac:dyDescent="0.3">
      <c r="A3" t="s">
        <v>27</v>
      </c>
      <c r="B3">
        <v>1101</v>
      </c>
      <c r="C3">
        <v>785</v>
      </c>
      <c r="D3">
        <v>869</v>
      </c>
      <c r="E3">
        <v>1654</v>
      </c>
      <c r="F3">
        <v>3.61E-2</v>
      </c>
      <c r="G3">
        <v>2176</v>
      </c>
      <c r="H3">
        <v>2523.58</v>
      </c>
      <c r="I3">
        <v>-347.58</v>
      </c>
      <c r="J3">
        <v>2722.62</v>
      </c>
      <c r="K3">
        <v>2960.35</v>
      </c>
      <c r="L3">
        <v>-2.4872999999999998</v>
      </c>
      <c r="M3">
        <v>1.2999999999999999E-2</v>
      </c>
      <c r="N3" t="s">
        <v>33</v>
      </c>
      <c r="O3">
        <f xml:space="preserve"> I3 * F3 * Калькулятор!$C$3</f>
        <v>-125476.37999999999</v>
      </c>
    </row>
    <row r="4" spans="1:15" x14ac:dyDescent="0.3">
      <c r="A4" t="s">
        <v>19</v>
      </c>
      <c r="B4">
        <v>9931</v>
      </c>
      <c r="C4">
        <v>153</v>
      </c>
      <c r="D4">
        <v>137</v>
      </c>
      <c r="E4">
        <v>290</v>
      </c>
      <c r="F4">
        <v>6.3E-3</v>
      </c>
      <c r="G4">
        <v>1415.78</v>
      </c>
      <c r="H4">
        <v>1968.69</v>
      </c>
      <c r="I4">
        <v>-552.91</v>
      </c>
      <c r="J4">
        <v>2038.16</v>
      </c>
      <c r="K4">
        <v>2403.4</v>
      </c>
      <c r="L4">
        <v>-2.1000999999999999</v>
      </c>
      <c r="M4">
        <v>3.6700000000000003E-2</v>
      </c>
      <c r="N4" t="s">
        <v>33</v>
      </c>
      <c r="O4">
        <f xml:space="preserve"> I4 * F4 * Калькулятор!$C$3</f>
        <v>-34833.33</v>
      </c>
    </row>
    <row r="5" spans="1:15" x14ac:dyDescent="0.3">
      <c r="O5">
        <f>SUM(O2:O4)</f>
        <v>-253238.03999999998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5"/>
  <sheetViews>
    <sheetView topLeftCell="A19" workbookViewId="0">
      <selection activeCell="O35" sqref="O35"/>
    </sheetView>
  </sheetViews>
  <sheetFormatPr defaultRowHeight="14.4" x14ac:dyDescent="0.3"/>
  <cols>
    <col min="14" max="14" width="18.44140625" customWidth="1"/>
    <col min="15" max="15" width="23.441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0" t="s">
        <v>40</v>
      </c>
    </row>
    <row r="2" spans="1:15" x14ac:dyDescent="0.3">
      <c r="A2" t="s">
        <v>14</v>
      </c>
      <c r="B2">
        <v>212</v>
      </c>
      <c r="C2">
        <v>593</v>
      </c>
      <c r="D2">
        <v>575</v>
      </c>
      <c r="E2">
        <v>1168</v>
      </c>
      <c r="F2">
        <v>2.5499999999999998E-2</v>
      </c>
      <c r="G2">
        <v>2144.3200000000002</v>
      </c>
      <c r="H2">
        <v>2222.0500000000002</v>
      </c>
      <c r="I2">
        <v>-77.73</v>
      </c>
      <c r="J2">
        <v>2708.59</v>
      </c>
      <c r="K2">
        <v>2785.12</v>
      </c>
      <c r="L2">
        <v>-0.4834</v>
      </c>
      <c r="M2">
        <v>0.62890000000000001</v>
      </c>
      <c r="N2" t="s">
        <v>31</v>
      </c>
      <c r="O2">
        <f xml:space="preserve"> 16 * (J2^2) / (Калькулятор!$C$3^2)</f>
        <v>1.173833566096</v>
      </c>
    </row>
    <row r="3" spans="1:15" x14ac:dyDescent="0.3">
      <c r="A3" t="s">
        <v>15</v>
      </c>
      <c r="B3">
        <v>13</v>
      </c>
      <c r="C3">
        <v>142</v>
      </c>
      <c r="D3">
        <v>150</v>
      </c>
      <c r="E3">
        <v>292</v>
      </c>
      <c r="F3">
        <v>6.4000000000000003E-3</v>
      </c>
      <c r="G3">
        <v>1970.55</v>
      </c>
      <c r="H3">
        <v>2336.19</v>
      </c>
      <c r="I3">
        <v>-365.64</v>
      </c>
      <c r="J3">
        <v>2575.94</v>
      </c>
      <c r="K3">
        <v>2709.9</v>
      </c>
      <c r="L3">
        <v>-1.1819999999999999</v>
      </c>
      <c r="M3">
        <v>0.2382</v>
      </c>
      <c r="N3" t="s">
        <v>31</v>
      </c>
      <c r="O3">
        <f xml:space="preserve"> 16 * (J3^2) / (Калькулятор!$C$3^2)</f>
        <v>1.061674701376</v>
      </c>
    </row>
    <row r="4" spans="1:15" x14ac:dyDescent="0.3">
      <c r="A4" t="s">
        <v>16</v>
      </c>
      <c r="B4">
        <v>54</v>
      </c>
      <c r="C4">
        <v>633</v>
      </c>
      <c r="D4">
        <v>640</v>
      </c>
      <c r="E4">
        <v>1273</v>
      </c>
      <c r="F4">
        <v>2.7799999999999998E-2</v>
      </c>
      <c r="G4">
        <v>1702.71</v>
      </c>
      <c r="H4">
        <v>1688.51</v>
      </c>
      <c r="I4">
        <v>14.2</v>
      </c>
      <c r="J4">
        <v>2565.13</v>
      </c>
      <c r="K4">
        <v>2628.01</v>
      </c>
      <c r="L4">
        <v>9.7600000000000006E-2</v>
      </c>
      <c r="M4">
        <v>0.92230000000000001</v>
      </c>
      <c r="N4" t="s">
        <v>31</v>
      </c>
      <c r="O4">
        <f xml:space="preserve"> 16 * (J4^2) / (Калькулятор!$C$3^2)</f>
        <v>1.0527827067040001</v>
      </c>
    </row>
    <row r="5" spans="1:15" x14ac:dyDescent="0.3">
      <c r="A5" t="s">
        <v>14</v>
      </c>
      <c r="B5">
        <v>278</v>
      </c>
      <c r="C5">
        <v>535</v>
      </c>
      <c r="D5">
        <v>489</v>
      </c>
      <c r="E5">
        <v>1024</v>
      </c>
      <c r="F5">
        <v>2.23E-2</v>
      </c>
      <c r="G5">
        <v>2499.35</v>
      </c>
      <c r="H5">
        <v>2185.21</v>
      </c>
      <c r="I5">
        <v>314.14</v>
      </c>
      <c r="J5">
        <v>2916</v>
      </c>
      <c r="K5">
        <v>2574.92</v>
      </c>
      <c r="L5">
        <v>1.8304</v>
      </c>
      <c r="M5">
        <v>6.7500000000000004E-2</v>
      </c>
      <c r="N5" t="s">
        <v>31</v>
      </c>
      <c r="O5">
        <f xml:space="preserve"> 16 * (J5^2) / (Калькулятор!$C$3^2)</f>
        <v>1.3604889600000001</v>
      </c>
    </row>
    <row r="6" spans="1:15" x14ac:dyDescent="0.3">
      <c r="A6" t="s">
        <v>19</v>
      </c>
      <c r="B6">
        <v>6543</v>
      </c>
      <c r="C6">
        <v>662</v>
      </c>
      <c r="D6">
        <v>689</v>
      </c>
      <c r="E6">
        <v>1351</v>
      </c>
      <c r="F6">
        <v>2.9499999999999998E-2</v>
      </c>
      <c r="G6">
        <v>1715.49</v>
      </c>
      <c r="H6">
        <v>1528.33</v>
      </c>
      <c r="I6">
        <v>187.16</v>
      </c>
      <c r="J6">
        <v>2457.37</v>
      </c>
      <c r="K6">
        <v>2338.52</v>
      </c>
      <c r="L6">
        <v>1.4330000000000001</v>
      </c>
      <c r="M6">
        <v>0.15210000000000001</v>
      </c>
      <c r="N6" t="s">
        <v>31</v>
      </c>
      <c r="O6">
        <f xml:space="preserve"> 16 * (J6^2) / (Калькулятор!$C$3^2)</f>
        <v>0.96618677070399983</v>
      </c>
    </row>
    <row r="7" spans="1:15" x14ac:dyDescent="0.3">
      <c r="A7" t="s">
        <v>17</v>
      </c>
      <c r="B7">
        <v>699</v>
      </c>
      <c r="C7">
        <v>482</v>
      </c>
      <c r="D7">
        <v>494</v>
      </c>
      <c r="E7">
        <v>976</v>
      </c>
      <c r="F7">
        <v>2.1299999999999999E-2</v>
      </c>
      <c r="G7">
        <v>2422.29</v>
      </c>
      <c r="H7">
        <v>2574.35</v>
      </c>
      <c r="I7">
        <v>-152.06</v>
      </c>
      <c r="J7">
        <v>3906.82</v>
      </c>
      <c r="K7">
        <v>4082.85</v>
      </c>
      <c r="L7">
        <v>-0.59460000000000002</v>
      </c>
      <c r="M7">
        <v>0.55230000000000001</v>
      </c>
      <c r="N7" t="s">
        <v>31</v>
      </c>
      <c r="O7">
        <f xml:space="preserve"> 16 * (J7^2) / (Калькулятор!$C$3^2)</f>
        <v>2.4421188019840003</v>
      </c>
    </row>
    <row r="8" spans="1:15" x14ac:dyDescent="0.3">
      <c r="A8" t="s">
        <v>17</v>
      </c>
      <c r="B8">
        <v>477</v>
      </c>
      <c r="C8">
        <v>382</v>
      </c>
      <c r="D8">
        <v>386</v>
      </c>
      <c r="E8">
        <v>768</v>
      </c>
      <c r="F8">
        <v>1.6799999999999999E-2</v>
      </c>
      <c r="G8">
        <v>2259.62</v>
      </c>
      <c r="H8">
        <v>2496.9899999999998</v>
      </c>
      <c r="I8">
        <v>-237.37</v>
      </c>
      <c r="J8">
        <v>3482.85</v>
      </c>
      <c r="K8">
        <v>3881.99</v>
      </c>
      <c r="L8">
        <v>-0.8921</v>
      </c>
      <c r="M8">
        <v>0.37259999999999999</v>
      </c>
      <c r="N8" t="s">
        <v>31</v>
      </c>
      <c r="O8">
        <f xml:space="preserve"> 16 * (J8^2) / (Калькулятор!$C$3^2)</f>
        <v>1.9408390595999998</v>
      </c>
    </row>
    <row r="9" spans="1:15" x14ac:dyDescent="0.3">
      <c r="A9" t="s">
        <v>17</v>
      </c>
      <c r="B9">
        <v>544</v>
      </c>
      <c r="C9">
        <v>377</v>
      </c>
      <c r="D9">
        <v>416</v>
      </c>
      <c r="E9">
        <v>793</v>
      </c>
      <c r="F9">
        <v>1.7299999999999999E-2</v>
      </c>
      <c r="G9">
        <v>2621.4299999999998</v>
      </c>
      <c r="H9">
        <v>2635.55</v>
      </c>
      <c r="I9">
        <v>-14.12</v>
      </c>
      <c r="J9">
        <v>3714.89</v>
      </c>
      <c r="K9">
        <v>4639.82</v>
      </c>
      <c r="L9">
        <v>-4.7500000000000001E-2</v>
      </c>
      <c r="M9">
        <v>0.96209999999999996</v>
      </c>
      <c r="N9" t="s">
        <v>31</v>
      </c>
      <c r="O9">
        <f xml:space="preserve"> 16 * (J9^2) / (Калькулятор!$C$3^2)</f>
        <v>2.2080652339359998</v>
      </c>
    </row>
    <row r="10" spans="1:15" x14ac:dyDescent="0.3">
      <c r="A10" t="s">
        <v>20</v>
      </c>
      <c r="B10">
        <v>80</v>
      </c>
      <c r="C10">
        <v>844</v>
      </c>
      <c r="D10">
        <v>880</v>
      </c>
      <c r="E10">
        <v>1724</v>
      </c>
      <c r="F10">
        <v>3.7600000000000001E-2</v>
      </c>
      <c r="G10">
        <v>2517.33</v>
      </c>
      <c r="H10">
        <v>2511.9699999999998</v>
      </c>
      <c r="I10">
        <v>5.36</v>
      </c>
      <c r="J10">
        <v>2797.12</v>
      </c>
      <c r="K10">
        <v>2824.72</v>
      </c>
      <c r="L10">
        <v>3.9600000000000003E-2</v>
      </c>
      <c r="M10">
        <v>0.96840000000000004</v>
      </c>
      <c r="N10" t="s">
        <v>31</v>
      </c>
      <c r="O10">
        <f xml:space="preserve"> 16 * (J10^2) / (Калькулятор!$C$3^2)</f>
        <v>1.2518208471039998</v>
      </c>
    </row>
    <row r="11" spans="1:15" x14ac:dyDescent="0.3">
      <c r="A11" t="s">
        <v>21</v>
      </c>
      <c r="B11">
        <v>88</v>
      </c>
      <c r="C11">
        <v>190</v>
      </c>
      <c r="D11">
        <v>167</v>
      </c>
      <c r="E11">
        <v>357</v>
      </c>
      <c r="F11">
        <v>7.7999999999999996E-3</v>
      </c>
      <c r="G11">
        <v>2902.41</v>
      </c>
      <c r="H11">
        <v>2439.46</v>
      </c>
      <c r="I11">
        <v>462.95</v>
      </c>
      <c r="J11">
        <v>3074.65</v>
      </c>
      <c r="K11">
        <v>2689.34</v>
      </c>
      <c r="L11">
        <v>1.5176000000000001</v>
      </c>
      <c r="M11">
        <v>0.13</v>
      </c>
      <c r="N11" t="s">
        <v>31</v>
      </c>
      <c r="O11">
        <f xml:space="preserve"> 16 * (J11^2) / (Калькулятор!$C$3^2)</f>
        <v>1.5125556196000001</v>
      </c>
    </row>
    <row r="12" spans="1:15" x14ac:dyDescent="0.3">
      <c r="A12" t="s">
        <v>22</v>
      </c>
      <c r="B12">
        <v>19</v>
      </c>
      <c r="C12">
        <v>130</v>
      </c>
      <c r="D12">
        <v>146</v>
      </c>
      <c r="E12">
        <v>276</v>
      </c>
      <c r="F12">
        <v>6.0000000000000001E-3</v>
      </c>
      <c r="G12">
        <v>2043.82</v>
      </c>
      <c r="H12">
        <v>1743.38</v>
      </c>
      <c r="I12">
        <v>300.44</v>
      </c>
      <c r="J12">
        <v>2442.27</v>
      </c>
      <c r="K12">
        <v>2891.33</v>
      </c>
      <c r="L12">
        <v>0.9355</v>
      </c>
      <c r="M12">
        <v>0.3503</v>
      </c>
      <c r="N12" t="s">
        <v>31</v>
      </c>
      <c r="O12">
        <f xml:space="preserve"> 16 * (J12^2) / (Калькулятор!$C$3^2)</f>
        <v>0.95434924046399994</v>
      </c>
    </row>
    <row r="13" spans="1:15" x14ac:dyDescent="0.3">
      <c r="A13" t="s">
        <v>18</v>
      </c>
      <c r="B13">
        <v>112</v>
      </c>
      <c r="C13">
        <v>652</v>
      </c>
      <c r="D13">
        <v>683</v>
      </c>
      <c r="E13">
        <v>1335</v>
      </c>
      <c r="F13">
        <v>2.9100000000000001E-2</v>
      </c>
      <c r="G13">
        <v>2488.12</v>
      </c>
      <c r="H13">
        <v>2218.64</v>
      </c>
      <c r="I13">
        <v>269.48</v>
      </c>
      <c r="J13">
        <v>2778.18</v>
      </c>
      <c r="K13">
        <v>2780.79</v>
      </c>
      <c r="L13">
        <v>1.7707999999999999</v>
      </c>
      <c r="M13">
        <v>7.6799999999999993E-2</v>
      </c>
      <c r="N13" t="s">
        <v>31</v>
      </c>
      <c r="O13">
        <f xml:space="preserve"> 16 * (J13^2) / (Калькулятор!$C$3^2)</f>
        <v>1.2349254579839999</v>
      </c>
    </row>
    <row r="14" spans="1:15" x14ac:dyDescent="0.3">
      <c r="A14" t="s">
        <v>18</v>
      </c>
      <c r="B14">
        <v>394</v>
      </c>
      <c r="C14">
        <v>104</v>
      </c>
      <c r="D14">
        <v>85</v>
      </c>
      <c r="E14">
        <v>189</v>
      </c>
      <c r="F14">
        <v>4.1000000000000003E-3</v>
      </c>
      <c r="G14">
        <v>1229.6400000000001</v>
      </c>
      <c r="H14">
        <v>973.62</v>
      </c>
      <c r="I14">
        <v>256.02</v>
      </c>
      <c r="J14">
        <v>2208.23</v>
      </c>
      <c r="K14">
        <v>1940.85</v>
      </c>
      <c r="L14">
        <v>0.8478</v>
      </c>
      <c r="M14">
        <v>0.3977</v>
      </c>
      <c r="N14" t="s">
        <v>31</v>
      </c>
      <c r="O14">
        <f xml:space="preserve"> 16 * (J14^2) / (Калькулятор!$C$3^2)</f>
        <v>0.78020475726400007</v>
      </c>
    </row>
    <row r="15" spans="1:15" x14ac:dyDescent="0.3">
      <c r="A15" t="s">
        <v>24</v>
      </c>
      <c r="B15">
        <v>72</v>
      </c>
      <c r="C15">
        <v>609</v>
      </c>
      <c r="D15">
        <v>639</v>
      </c>
      <c r="E15">
        <v>1248</v>
      </c>
      <c r="F15">
        <v>2.7199999999999998E-2</v>
      </c>
      <c r="G15">
        <v>2371.4299999999998</v>
      </c>
      <c r="H15">
        <v>2523.38</v>
      </c>
      <c r="I15">
        <v>-151.94999999999999</v>
      </c>
      <c r="J15">
        <v>2906.82</v>
      </c>
      <c r="K15">
        <v>2795.92</v>
      </c>
      <c r="L15">
        <v>-0.94040000000000001</v>
      </c>
      <c r="M15">
        <v>0.34720000000000001</v>
      </c>
      <c r="N15" t="s">
        <v>31</v>
      </c>
      <c r="O15">
        <f xml:space="preserve"> 16 * (J15^2) / (Калькулятор!$C$3^2)</f>
        <v>1.3519364019840001</v>
      </c>
    </row>
    <row r="16" spans="1:15" x14ac:dyDescent="0.3">
      <c r="A16" t="s">
        <v>14</v>
      </c>
      <c r="B16">
        <v>202</v>
      </c>
      <c r="C16">
        <v>551</v>
      </c>
      <c r="D16">
        <v>565</v>
      </c>
      <c r="E16">
        <v>1116</v>
      </c>
      <c r="F16">
        <v>2.4299999999999999E-2</v>
      </c>
      <c r="G16">
        <v>2927.34</v>
      </c>
      <c r="H16">
        <v>2730.38</v>
      </c>
      <c r="I16">
        <v>196.96</v>
      </c>
      <c r="J16">
        <v>2956.69</v>
      </c>
      <c r="K16">
        <v>2737.89</v>
      </c>
      <c r="L16">
        <v>1.1539999999999999</v>
      </c>
      <c r="M16">
        <v>0.24879999999999999</v>
      </c>
      <c r="N16" t="s">
        <v>31</v>
      </c>
      <c r="O16">
        <f xml:space="preserve"> 16 * (J16^2) / (Калькулятор!$C$3^2)</f>
        <v>1.3987225209760001</v>
      </c>
    </row>
    <row r="17" spans="1:15" x14ac:dyDescent="0.3">
      <c r="A17" t="s">
        <v>16</v>
      </c>
      <c r="B17">
        <v>55</v>
      </c>
      <c r="C17">
        <v>422</v>
      </c>
      <c r="D17">
        <v>425</v>
      </c>
      <c r="E17">
        <v>847</v>
      </c>
      <c r="F17">
        <v>1.8499999999999999E-2</v>
      </c>
      <c r="G17">
        <v>2109.11</v>
      </c>
      <c r="H17">
        <v>2111.27</v>
      </c>
      <c r="I17">
        <v>-2.16</v>
      </c>
      <c r="J17">
        <v>2790.99</v>
      </c>
      <c r="K17">
        <v>2804.22</v>
      </c>
      <c r="L17">
        <v>-1.1299999999999999E-2</v>
      </c>
      <c r="M17">
        <v>0.99099999999999999</v>
      </c>
      <c r="N17" t="s">
        <v>31</v>
      </c>
      <c r="O17">
        <f xml:space="preserve"> 16 * (J17^2) / (Калькулятор!$C$3^2)</f>
        <v>1.2463400288159998</v>
      </c>
    </row>
    <row r="18" spans="1:15" x14ac:dyDescent="0.3">
      <c r="A18" t="s">
        <v>14</v>
      </c>
      <c r="B18">
        <v>444</v>
      </c>
      <c r="C18">
        <v>650</v>
      </c>
      <c r="D18">
        <v>562</v>
      </c>
      <c r="E18">
        <v>1212</v>
      </c>
      <c r="F18">
        <v>2.64E-2</v>
      </c>
      <c r="G18">
        <v>2404.11</v>
      </c>
      <c r="H18">
        <v>2545.73</v>
      </c>
      <c r="I18">
        <v>-141.62</v>
      </c>
      <c r="J18">
        <v>2810.83</v>
      </c>
      <c r="K18">
        <v>2797.14</v>
      </c>
      <c r="L18">
        <v>-0.87709999999999999</v>
      </c>
      <c r="M18">
        <v>0.38059999999999999</v>
      </c>
      <c r="N18" t="s">
        <v>31</v>
      </c>
      <c r="O18">
        <f xml:space="preserve"> 16 * (J18^2) / (Калькулятор!$C$3^2)</f>
        <v>1.2641224462239999</v>
      </c>
    </row>
    <row r="19" spans="1:15" x14ac:dyDescent="0.3">
      <c r="A19" t="s">
        <v>27</v>
      </c>
      <c r="B19">
        <v>1989</v>
      </c>
      <c r="C19">
        <v>239</v>
      </c>
      <c r="D19">
        <v>270</v>
      </c>
      <c r="E19">
        <v>509</v>
      </c>
      <c r="F19">
        <v>1.11E-2</v>
      </c>
      <c r="G19">
        <v>4407.38</v>
      </c>
      <c r="H19">
        <v>4163.96</v>
      </c>
      <c r="I19">
        <v>243.42</v>
      </c>
      <c r="J19">
        <v>2737.9</v>
      </c>
      <c r="K19">
        <v>2492.1</v>
      </c>
      <c r="L19">
        <v>1.044</v>
      </c>
      <c r="M19">
        <v>0.29699999999999999</v>
      </c>
      <c r="N19" t="s">
        <v>31</v>
      </c>
      <c r="O19">
        <f xml:space="preserve"> 16 * (J19^2) / (Калькулятор!$C$3^2)</f>
        <v>1.1993754256</v>
      </c>
    </row>
    <row r="20" spans="1:15" x14ac:dyDescent="0.3">
      <c r="A20" t="s">
        <v>18</v>
      </c>
      <c r="B20">
        <v>576</v>
      </c>
      <c r="C20">
        <v>630</v>
      </c>
      <c r="D20">
        <v>657</v>
      </c>
      <c r="E20">
        <v>1287</v>
      </c>
      <c r="F20">
        <v>2.81E-2</v>
      </c>
      <c r="G20">
        <v>1594.44</v>
      </c>
      <c r="H20">
        <v>1342.13</v>
      </c>
      <c r="I20">
        <v>252.31</v>
      </c>
      <c r="J20">
        <v>2683.73</v>
      </c>
      <c r="K20">
        <v>2415.8200000000002</v>
      </c>
      <c r="L20">
        <v>1.7702</v>
      </c>
      <c r="M20">
        <v>7.6899999999999996E-2</v>
      </c>
      <c r="N20" t="s">
        <v>31</v>
      </c>
      <c r="O20">
        <f xml:space="preserve"> 16 * (J20^2) / (Калькулятор!$C$3^2)</f>
        <v>1.152385074064</v>
      </c>
    </row>
    <row r="21" spans="1:15" x14ac:dyDescent="0.3">
      <c r="A21" t="s">
        <v>18</v>
      </c>
      <c r="B21">
        <v>309</v>
      </c>
      <c r="C21">
        <v>240</v>
      </c>
      <c r="D21">
        <v>238</v>
      </c>
      <c r="E21">
        <v>478</v>
      </c>
      <c r="F21">
        <v>1.04E-2</v>
      </c>
      <c r="G21">
        <v>2706.28</v>
      </c>
      <c r="H21">
        <v>2392.89</v>
      </c>
      <c r="I21">
        <v>313.39</v>
      </c>
      <c r="J21">
        <v>2814.94</v>
      </c>
      <c r="K21">
        <v>2761.94</v>
      </c>
      <c r="L21">
        <v>1.2285999999999999</v>
      </c>
      <c r="M21">
        <v>0.2198</v>
      </c>
      <c r="N21" t="s">
        <v>31</v>
      </c>
      <c r="O21">
        <f xml:space="preserve"> 16 * (J21^2) / (Калькулятор!$C$3^2)</f>
        <v>1.2678219525760002</v>
      </c>
    </row>
    <row r="22" spans="1:15" x14ac:dyDescent="0.3">
      <c r="A22" t="s">
        <v>19</v>
      </c>
      <c r="B22">
        <v>3987</v>
      </c>
      <c r="C22">
        <v>801</v>
      </c>
      <c r="D22">
        <v>785</v>
      </c>
      <c r="E22">
        <v>1586</v>
      </c>
      <c r="F22">
        <v>3.4599999999999999E-2</v>
      </c>
      <c r="G22">
        <v>1603</v>
      </c>
      <c r="H22">
        <v>1639.86</v>
      </c>
      <c r="I22">
        <v>-36.86</v>
      </c>
      <c r="J22">
        <v>2518.83</v>
      </c>
      <c r="K22">
        <v>2686.32</v>
      </c>
      <c r="L22">
        <v>-0.28179999999999999</v>
      </c>
      <c r="M22">
        <v>0.77810000000000001</v>
      </c>
      <c r="N22" t="s">
        <v>31</v>
      </c>
      <c r="O22">
        <f xml:space="preserve"> 16 * (J22^2) / (Калькулятор!$C$3^2)</f>
        <v>1.0151207310239998</v>
      </c>
    </row>
    <row r="23" spans="1:15" x14ac:dyDescent="0.3">
      <c r="A23" t="s">
        <v>19</v>
      </c>
      <c r="B23">
        <v>8543</v>
      </c>
      <c r="C23">
        <v>148</v>
      </c>
      <c r="D23">
        <v>140</v>
      </c>
      <c r="E23">
        <v>288</v>
      </c>
      <c r="F23">
        <v>6.3E-3</v>
      </c>
      <c r="G23">
        <v>1859.78</v>
      </c>
      <c r="H23">
        <v>1804.25</v>
      </c>
      <c r="I23">
        <v>55.53</v>
      </c>
      <c r="J23">
        <v>2568.98</v>
      </c>
      <c r="K23">
        <v>3015.73</v>
      </c>
      <c r="L23">
        <v>0.1678</v>
      </c>
      <c r="M23">
        <v>0.8669</v>
      </c>
      <c r="N23" t="s">
        <v>31</v>
      </c>
      <c r="O23">
        <f xml:space="preserve"> 16 * (J23^2) / (Калькулятор!$C$3^2)</f>
        <v>1.055945318464</v>
      </c>
    </row>
    <row r="24" spans="1:15" x14ac:dyDescent="0.3">
      <c r="A24" t="s">
        <v>17</v>
      </c>
      <c r="B24">
        <v>516</v>
      </c>
      <c r="C24">
        <v>634</v>
      </c>
      <c r="D24">
        <v>636</v>
      </c>
      <c r="E24">
        <v>1270</v>
      </c>
      <c r="F24">
        <v>2.7699999999999999E-2</v>
      </c>
      <c r="G24">
        <v>3245.2</v>
      </c>
      <c r="H24">
        <v>2880.48</v>
      </c>
      <c r="I24">
        <v>364.72</v>
      </c>
      <c r="J24">
        <v>4543.17</v>
      </c>
      <c r="K24">
        <v>3819.29</v>
      </c>
      <c r="L24">
        <v>1.5483</v>
      </c>
      <c r="M24">
        <v>0.12180000000000001</v>
      </c>
      <c r="N24" t="s">
        <v>31</v>
      </c>
      <c r="O24">
        <f xml:space="preserve"> 16 * (J24^2) / (Калькулятор!$C$3^2)</f>
        <v>3.3024629838240003</v>
      </c>
    </row>
    <row r="25" spans="1:15" x14ac:dyDescent="0.3">
      <c r="A25" t="s">
        <v>19</v>
      </c>
      <c r="B25">
        <v>2212</v>
      </c>
      <c r="C25">
        <v>422</v>
      </c>
      <c r="D25">
        <v>397</v>
      </c>
      <c r="E25">
        <v>819</v>
      </c>
      <c r="F25">
        <v>1.7899999999999999E-2</v>
      </c>
      <c r="G25">
        <v>2827.24</v>
      </c>
      <c r="H25">
        <v>2739.36</v>
      </c>
      <c r="I25">
        <v>87.88</v>
      </c>
      <c r="J25">
        <v>3197.54</v>
      </c>
      <c r="K25">
        <v>2446.98</v>
      </c>
      <c r="L25">
        <v>0.44319999999999998</v>
      </c>
      <c r="M25">
        <v>0.65769999999999995</v>
      </c>
      <c r="N25" t="s">
        <v>31</v>
      </c>
      <c r="O25">
        <f xml:space="preserve"> 16 * (J25^2) / (Калькулятор!$C$3^2)</f>
        <v>1.635881928256</v>
      </c>
    </row>
    <row r="26" spans="1:15" x14ac:dyDescent="0.3">
      <c r="A26" t="s">
        <v>17</v>
      </c>
      <c r="B26">
        <v>439</v>
      </c>
      <c r="C26">
        <v>355</v>
      </c>
      <c r="D26">
        <v>351</v>
      </c>
      <c r="E26">
        <v>706</v>
      </c>
      <c r="F26">
        <v>1.54E-2</v>
      </c>
      <c r="G26">
        <v>2481.96</v>
      </c>
      <c r="H26">
        <v>2400.64</v>
      </c>
      <c r="I26">
        <v>81.319999999999993</v>
      </c>
      <c r="J26">
        <v>4040.44</v>
      </c>
      <c r="K26">
        <v>3722.12</v>
      </c>
      <c r="L26">
        <v>0.2782</v>
      </c>
      <c r="M26">
        <v>0.78090000000000004</v>
      </c>
      <c r="N26" t="s">
        <v>31</v>
      </c>
      <c r="O26">
        <f xml:space="preserve"> 16 * (J26^2) / (Калькулятор!$C$3^2)</f>
        <v>2.6120248629759999</v>
      </c>
    </row>
    <row r="27" spans="1:15" x14ac:dyDescent="0.3">
      <c r="A27" t="s">
        <v>14</v>
      </c>
      <c r="B27">
        <v>277</v>
      </c>
      <c r="C27">
        <v>708</v>
      </c>
      <c r="D27">
        <v>709</v>
      </c>
      <c r="E27">
        <v>1417</v>
      </c>
      <c r="F27">
        <v>3.09E-2</v>
      </c>
      <c r="G27">
        <v>2285.75</v>
      </c>
      <c r="H27">
        <v>2431.37</v>
      </c>
      <c r="I27">
        <v>-145.62</v>
      </c>
      <c r="J27">
        <v>2712.68</v>
      </c>
      <c r="K27">
        <v>2868.59</v>
      </c>
      <c r="L27">
        <v>-0.98170000000000002</v>
      </c>
      <c r="M27">
        <v>0.32640000000000002</v>
      </c>
      <c r="N27" t="s">
        <v>31</v>
      </c>
      <c r="O27">
        <f xml:space="preserve"> 16 * (J27^2) / (Калькулятор!$C$3^2)</f>
        <v>1.1773812451839998</v>
      </c>
    </row>
    <row r="28" spans="1:15" x14ac:dyDescent="0.3">
      <c r="A28" t="s">
        <v>28</v>
      </c>
      <c r="B28">
        <v>69</v>
      </c>
      <c r="C28">
        <v>75</v>
      </c>
      <c r="D28">
        <v>78</v>
      </c>
      <c r="E28">
        <v>153</v>
      </c>
      <c r="F28">
        <v>3.3E-3</v>
      </c>
      <c r="G28">
        <v>1171.45</v>
      </c>
      <c r="H28">
        <v>600.15</v>
      </c>
      <c r="I28">
        <v>571.29999999999995</v>
      </c>
      <c r="J28">
        <v>2578.1</v>
      </c>
      <c r="K28">
        <v>1690.14</v>
      </c>
      <c r="L28">
        <v>1.6143000000000001</v>
      </c>
      <c r="M28">
        <v>0.1089</v>
      </c>
      <c r="N28" t="s">
        <v>31</v>
      </c>
      <c r="O28">
        <f xml:space="preserve"> 16 * (J28^2) / (Калькулятор!$C$3^2)</f>
        <v>1.0634559375999999</v>
      </c>
    </row>
    <row r="29" spans="1:15" x14ac:dyDescent="0.3">
      <c r="A29" t="s">
        <v>29</v>
      </c>
      <c r="B29">
        <v>23</v>
      </c>
      <c r="C29">
        <v>124</v>
      </c>
      <c r="D29">
        <v>107</v>
      </c>
      <c r="E29">
        <v>231</v>
      </c>
      <c r="F29">
        <v>5.0000000000000001E-3</v>
      </c>
      <c r="G29">
        <v>1384.63</v>
      </c>
      <c r="H29">
        <v>1315.98</v>
      </c>
      <c r="I29">
        <v>68.650000000000006</v>
      </c>
      <c r="J29">
        <v>2471.69</v>
      </c>
      <c r="K29">
        <v>2220.0100000000002</v>
      </c>
      <c r="L29">
        <v>0.2223</v>
      </c>
      <c r="M29">
        <v>0.82420000000000004</v>
      </c>
      <c r="N29" t="s">
        <v>31</v>
      </c>
      <c r="O29">
        <f xml:space="preserve"> 16 * (J29^2) / (Калькулятор!$C$3^2)</f>
        <v>0.97748023297600006</v>
      </c>
    </row>
    <row r="30" spans="1:15" x14ac:dyDescent="0.3">
      <c r="A30" t="s">
        <v>20</v>
      </c>
      <c r="B30">
        <v>82</v>
      </c>
      <c r="C30">
        <v>169</v>
      </c>
      <c r="D30">
        <v>229</v>
      </c>
      <c r="E30">
        <v>398</v>
      </c>
      <c r="F30">
        <v>8.6999999999999994E-3</v>
      </c>
      <c r="G30">
        <v>2586.0100000000002</v>
      </c>
      <c r="H30">
        <v>2655.67</v>
      </c>
      <c r="I30">
        <v>-69.66</v>
      </c>
      <c r="J30">
        <v>2676.44</v>
      </c>
      <c r="K30">
        <v>2929.36</v>
      </c>
      <c r="L30">
        <v>-0.2465</v>
      </c>
      <c r="M30">
        <v>0.8054</v>
      </c>
      <c r="N30" t="s">
        <v>31</v>
      </c>
      <c r="O30">
        <f xml:space="preserve"> 16 * (J30^2) / (Калькулятор!$C$3^2)</f>
        <v>1.146132971776</v>
      </c>
    </row>
    <row r="31" spans="1:15" x14ac:dyDescent="0.3">
      <c r="A31" t="s">
        <v>24</v>
      </c>
      <c r="B31">
        <v>73</v>
      </c>
      <c r="C31">
        <v>187</v>
      </c>
      <c r="D31">
        <v>167</v>
      </c>
      <c r="E31">
        <v>354</v>
      </c>
      <c r="F31">
        <v>7.7000000000000002E-3</v>
      </c>
      <c r="G31">
        <v>2092.1799999999998</v>
      </c>
      <c r="H31">
        <v>2521.96</v>
      </c>
      <c r="I31">
        <v>-429.78</v>
      </c>
      <c r="J31">
        <v>2530.27</v>
      </c>
      <c r="K31">
        <v>2875.46</v>
      </c>
      <c r="L31">
        <v>-1.4851000000000001</v>
      </c>
      <c r="M31">
        <v>0.13850000000000001</v>
      </c>
      <c r="N31" t="s">
        <v>31</v>
      </c>
      <c r="O31">
        <f xml:space="preserve"> 16 * (J31^2) / (Калькулятор!$C$3^2)</f>
        <v>1.0243626036640001</v>
      </c>
    </row>
    <row r="32" spans="1:15" x14ac:dyDescent="0.3">
      <c r="A32" t="s">
        <v>19</v>
      </c>
      <c r="B32">
        <v>9121</v>
      </c>
      <c r="C32">
        <v>131</v>
      </c>
      <c r="D32">
        <v>108</v>
      </c>
      <c r="E32">
        <v>239</v>
      </c>
      <c r="F32">
        <v>5.1999999999999998E-3</v>
      </c>
      <c r="G32">
        <v>1976.85</v>
      </c>
      <c r="H32">
        <v>1856.94</v>
      </c>
      <c r="I32">
        <v>119.91</v>
      </c>
      <c r="J32">
        <v>2605.8000000000002</v>
      </c>
      <c r="K32">
        <v>2442.33</v>
      </c>
      <c r="L32">
        <v>0.36649999999999999</v>
      </c>
      <c r="M32">
        <v>0.71430000000000005</v>
      </c>
      <c r="N32" t="s">
        <v>31</v>
      </c>
      <c r="O32">
        <f xml:space="preserve"> 16 * (J32^2) / (Калькулятор!$C$3^2)</f>
        <v>1.0864309824</v>
      </c>
    </row>
    <row r="33" spans="1:15" x14ac:dyDescent="0.3">
      <c r="A33" t="s">
        <v>30</v>
      </c>
      <c r="B33">
        <v>2</v>
      </c>
      <c r="C33">
        <v>78</v>
      </c>
      <c r="D33">
        <v>71</v>
      </c>
      <c r="E33">
        <v>149</v>
      </c>
      <c r="F33">
        <v>3.3E-3</v>
      </c>
      <c r="G33">
        <v>579.33000000000004</v>
      </c>
      <c r="H33">
        <v>483.45</v>
      </c>
      <c r="I33">
        <v>95.88</v>
      </c>
      <c r="J33">
        <v>1860.76</v>
      </c>
      <c r="K33">
        <v>1654.92</v>
      </c>
      <c r="L33">
        <v>0.33289999999999997</v>
      </c>
      <c r="M33">
        <v>0.73970000000000002</v>
      </c>
      <c r="N33" t="s">
        <v>31</v>
      </c>
      <c r="O33">
        <f xml:space="preserve"> 16 * (J33^2) / (Калькулятор!$C$3^2)</f>
        <v>0.55398844441600004</v>
      </c>
    </row>
    <row r="34" spans="1:15" x14ac:dyDescent="0.3">
      <c r="A34" t="s">
        <v>19</v>
      </c>
      <c r="B34">
        <v>3786</v>
      </c>
      <c r="C34">
        <v>237</v>
      </c>
      <c r="D34">
        <v>278</v>
      </c>
      <c r="E34">
        <v>515</v>
      </c>
      <c r="F34">
        <v>1.12E-2</v>
      </c>
      <c r="G34">
        <v>2636.66</v>
      </c>
      <c r="H34">
        <v>2688.23</v>
      </c>
      <c r="I34">
        <v>-51.57</v>
      </c>
      <c r="J34">
        <v>2713.06</v>
      </c>
      <c r="K34">
        <v>3292.94</v>
      </c>
      <c r="L34">
        <v>-0.1948</v>
      </c>
      <c r="M34">
        <v>0.84560000000000002</v>
      </c>
      <c r="N34" t="s">
        <v>31</v>
      </c>
      <c r="O34">
        <f xml:space="preserve"> 16 * (J34^2) / (Калькулятор!$C$3^2)</f>
        <v>1.1777111301759999</v>
      </c>
    </row>
    <row r="35" spans="1:15" x14ac:dyDescent="0.3">
      <c r="O35" s="11">
        <f>SUM(O2:O34)</f>
        <v>44.648928945792001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Все_ТТ</vt:lpstr>
      <vt:lpstr>Калькулятор</vt:lpstr>
      <vt:lpstr>положительные</vt:lpstr>
      <vt:lpstr>отрицательные</vt:lpstr>
      <vt:lpstr>нейтральный исход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 164.2</cp:lastModifiedBy>
  <dcterms:created xsi:type="dcterms:W3CDTF">2026-10-23T15:14:19Z</dcterms:created>
  <dcterms:modified xsi:type="dcterms:W3CDTF">2026-10-24T06:35:03Z</dcterms:modified>
</cp:coreProperties>
</file>